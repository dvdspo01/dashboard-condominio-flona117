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Condominio\planilhas\"/>
    </mc:Choice>
  </mc:AlternateContent>
  <xr:revisionPtr revIDLastSave="0" documentId="13_ncr:1_{880521C3-95E8-4E5B-8CCB-B874B3E7CF60}" xr6:coauthVersionLast="47" xr6:coauthVersionMax="47" xr10:uidLastSave="{00000000-0000-0000-0000-000000000000}"/>
  <bookViews>
    <workbookView xWindow="-28920" yWindow="-120" windowWidth="29040" windowHeight="15720" firstSheet="1" activeTab="3" xr2:uid="{00000000-000D-0000-FFFF-FFFF00000000}"/>
  </bookViews>
  <sheets>
    <sheet name="CAPA Explicações" sheetId="1" r:id="rId1"/>
    <sheet name="Fluxo de caixa 2024" sheetId="2" r:id="rId2"/>
    <sheet name="Fluxo de caixa 2025" sheetId="3" r:id="rId3"/>
    <sheet name="Fluxo de caixa 2026" sheetId="7" r:id="rId4"/>
    <sheet name="TaxaCondominio" sheetId="4" r:id="rId5"/>
    <sheet name="Manutenções" sheetId="5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7" l="1"/>
  <c r="G29" i="7"/>
  <c r="G23" i="7"/>
  <c r="G22" i="7" s="1"/>
  <c r="G31" i="7" s="1"/>
  <c r="F29" i="7"/>
  <c r="AE10" i="4"/>
  <c r="G9" i="7" s="1"/>
  <c r="G8" i="7" s="1"/>
  <c r="F20" i="7"/>
  <c r="F17" i="7"/>
  <c r="F30" i="7" s="1"/>
  <c r="AD10" i="4"/>
  <c r="F9" i="7" s="1"/>
  <c r="F8" i="7" s="1"/>
  <c r="AC10" i="4"/>
  <c r="E9" i="7" s="1"/>
  <c r="E8" i="7" s="1"/>
  <c r="AB10" i="4"/>
  <c r="D9" i="7" s="1"/>
  <c r="D8" i="7" s="1"/>
  <c r="AA10" i="4"/>
  <c r="B35" i="7"/>
  <c r="C35" i="7" s="1"/>
  <c r="D35" i="7" s="1"/>
  <c r="E35" i="7" s="1"/>
  <c r="F35" i="7" s="1"/>
  <c r="C9" i="7"/>
  <c r="C8" i="7" s="1"/>
  <c r="H9" i="7"/>
  <c r="H8" i="7" s="1"/>
  <c r="I9" i="7"/>
  <c r="I8" i="7" s="1"/>
  <c r="J9" i="7"/>
  <c r="J8" i="7" s="1"/>
  <c r="K9" i="7"/>
  <c r="K8" i="7" s="1"/>
  <c r="L9" i="7"/>
  <c r="M9" i="7"/>
  <c r="M32" i="7"/>
  <c r="M29" i="7"/>
  <c r="L29" i="7"/>
  <c r="K29" i="7"/>
  <c r="J29" i="7"/>
  <c r="H29" i="7"/>
  <c r="E29" i="7"/>
  <c r="D29" i="7"/>
  <c r="C29" i="7"/>
  <c r="B29" i="7"/>
  <c r="J22" i="7"/>
  <c r="J31" i="7" s="1"/>
  <c r="M22" i="7"/>
  <c r="M31" i="7" s="1"/>
  <c r="L22" i="7"/>
  <c r="L31" i="7" s="1"/>
  <c r="K22" i="7"/>
  <c r="K31" i="7" s="1"/>
  <c r="I22" i="7"/>
  <c r="I31" i="7" s="1"/>
  <c r="H22" i="7"/>
  <c r="H31" i="7" s="1"/>
  <c r="F22" i="7"/>
  <c r="F31" i="7" s="1"/>
  <c r="E22" i="7"/>
  <c r="E31" i="7" s="1"/>
  <c r="D22" i="7"/>
  <c r="D31" i="7" s="1"/>
  <c r="C22" i="7"/>
  <c r="C31" i="7" s="1"/>
  <c r="B22" i="7"/>
  <c r="M17" i="7"/>
  <c r="M30" i="7" s="1"/>
  <c r="L17" i="7"/>
  <c r="L30" i="7" s="1"/>
  <c r="K17" i="7"/>
  <c r="K30" i="7" s="1"/>
  <c r="J17" i="7"/>
  <c r="J30" i="7" s="1"/>
  <c r="I17" i="7"/>
  <c r="I30" i="7" s="1"/>
  <c r="H17" i="7"/>
  <c r="H30" i="7" s="1"/>
  <c r="G17" i="7"/>
  <c r="G30" i="7" s="1"/>
  <c r="E17" i="7"/>
  <c r="E30" i="7" s="1"/>
  <c r="D17" i="7"/>
  <c r="D30" i="7" s="1"/>
  <c r="C17" i="7"/>
  <c r="C30" i="7" s="1"/>
  <c r="B17" i="7"/>
  <c r="B30" i="7" s="1"/>
  <c r="M13" i="7"/>
  <c r="L13" i="7"/>
  <c r="L32" i="7" s="1"/>
  <c r="K13" i="7"/>
  <c r="K32" i="7" s="1"/>
  <c r="J13" i="7"/>
  <c r="J32" i="7" s="1"/>
  <c r="I13" i="7"/>
  <c r="I32" i="7" s="1"/>
  <c r="H13" i="7"/>
  <c r="H32" i="7" s="1"/>
  <c r="G13" i="7"/>
  <c r="G32" i="7" s="1"/>
  <c r="F13" i="7"/>
  <c r="F32" i="7" s="1"/>
  <c r="E13" i="7"/>
  <c r="E32" i="7" s="1"/>
  <c r="D13" i="7"/>
  <c r="D32" i="7" s="1"/>
  <c r="C13" i="7"/>
  <c r="C32" i="7" s="1"/>
  <c r="B13" i="7"/>
  <c r="B32" i="7" s="1"/>
  <c r="M8" i="7"/>
  <c r="L8" i="7"/>
  <c r="M5" i="7"/>
  <c r="L5" i="7"/>
  <c r="K5" i="7"/>
  <c r="J5" i="7"/>
  <c r="I5" i="7"/>
  <c r="H5" i="7"/>
  <c r="G5" i="7"/>
  <c r="F5" i="7"/>
  <c r="E5" i="7"/>
  <c r="D5" i="7"/>
  <c r="C5" i="7"/>
  <c r="B5" i="7"/>
  <c r="M29" i="3"/>
  <c r="K29" i="3"/>
  <c r="L29" i="3"/>
  <c r="C32" i="3"/>
  <c r="K32" i="3"/>
  <c r="I31" i="3"/>
  <c r="M32" i="3"/>
  <c r="Z10" i="4"/>
  <c r="B9" i="7" s="1"/>
  <c r="B8" i="7" s="1"/>
  <c r="B28" i="7" s="1"/>
  <c r="Y10" i="4"/>
  <c r="M9" i="3" s="1"/>
  <c r="M8" i="3" s="1"/>
  <c r="X10" i="4"/>
  <c r="L9" i="3" s="1"/>
  <c r="L8" i="3" s="1"/>
  <c r="W10" i="4"/>
  <c r="K9" i="3" s="1"/>
  <c r="V10" i="4"/>
  <c r="J9" i="3" s="1"/>
  <c r="J8" i="3" s="1"/>
  <c r="U10" i="4"/>
  <c r="T10" i="4"/>
  <c r="H9" i="3" s="1"/>
  <c r="H8" i="3" s="1"/>
  <c r="S10" i="4"/>
  <c r="G9" i="3" s="1"/>
  <c r="G8" i="3" s="1"/>
  <c r="R10" i="4"/>
  <c r="Q10" i="4"/>
  <c r="P10" i="4"/>
  <c r="O10" i="4"/>
  <c r="C9" i="3" s="1"/>
  <c r="C8" i="3" s="1"/>
  <c r="N10" i="4"/>
  <c r="B9" i="3" s="1"/>
  <c r="B8" i="3" s="1"/>
  <c r="M10" i="4"/>
  <c r="L10" i="4"/>
  <c r="L9" i="2" s="1"/>
  <c r="L8" i="2" s="1"/>
  <c r="K10" i="4"/>
  <c r="J10" i="4"/>
  <c r="J9" i="2" s="1"/>
  <c r="J8" i="2" s="1"/>
  <c r="I10" i="4"/>
  <c r="I9" i="2" s="1"/>
  <c r="I8" i="2" s="1"/>
  <c r="H10" i="4"/>
  <c r="H9" i="2" s="1"/>
  <c r="H8" i="2" s="1"/>
  <c r="G10" i="4"/>
  <c r="G9" i="2" s="1"/>
  <c r="G8" i="2" s="1"/>
  <c r="F10" i="4"/>
  <c r="F9" i="2" s="1"/>
  <c r="F8" i="2" s="1"/>
  <c r="E10" i="4"/>
  <c r="D10" i="4"/>
  <c r="C10" i="4"/>
  <c r="B10" i="4"/>
  <c r="M4" i="4"/>
  <c r="L4" i="4"/>
  <c r="K4" i="4"/>
  <c r="J4" i="4"/>
  <c r="I4" i="4"/>
  <c r="H4" i="4"/>
  <c r="G4" i="4"/>
  <c r="F4" i="4"/>
  <c r="E4" i="4"/>
  <c r="D4" i="4"/>
  <c r="C4" i="4"/>
  <c r="B4" i="4"/>
  <c r="E35" i="3"/>
  <c r="F35" i="3" s="1"/>
  <c r="G35" i="3" s="1"/>
  <c r="J29" i="3"/>
  <c r="H29" i="3"/>
  <c r="E29" i="3"/>
  <c r="D29" i="3"/>
  <c r="C29" i="3"/>
  <c r="B29" i="3"/>
  <c r="J24" i="3"/>
  <c r="J22" i="3" s="1"/>
  <c r="J31" i="3" s="1"/>
  <c r="M22" i="3"/>
  <c r="M31" i="3" s="1"/>
  <c r="L22" i="3"/>
  <c r="L31" i="3" s="1"/>
  <c r="K22" i="3"/>
  <c r="K31" i="3" s="1"/>
  <c r="I22" i="3"/>
  <c r="H22" i="3"/>
  <c r="H31" i="3" s="1"/>
  <c r="G22" i="3"/>
  <c r="G31" i="3" s="1"/>
  <c r="F22" i="3"/>
  <c r="F31" i="3" s="1"/>
  <c r="E22" i="3"/>
  <c r="E31" i="3" s="1"/>
  <c r="D22" i="3"/>
  <c r="D31" i="3" s="1"/>
  <c r="C22" i="3"/>
  <c r="C31" i="3" s="1"/>
  <c r="B22" i="3"/>
  <c r="B31" i="3" s="1"/>
  <c r="J20" i="3"/>
  <c r="L17" i="3" s="1"/>
  <c r="L30" i="3" s="1"/>
  <c r="K17" i="3"/>
  <c r="K30" i="3" s="1"/>
  <c r="I17" i="3"/>
  <c r="I30" i="3" s="1"/>
  <c r="H17" i="3"/>
  <c r="H30" i="3" s="1"/>
  <c r="G17" i="3"/>
  <c r="G30" i="3" s="1"/>
  <c r="F17" i="3"/>
  <c r="F30" i="3" s="1"/>
  <c r="E17" i="3"/>
  <c r="E30" i="3" s="1"/>
  <c r="D17" i="3"/>
  <c r="D30" i="3" s="1"/>
  <c r="C17" i="3"/>
  <c r="C30" i="3" s="1"/>
  <c r="B17" i="3"/>
  <c r="B30" i="3" s="1"/>
  <c r="M13" i="3"/>
  <c r="L13" i="3"/>
  <c r="L32" i="3" s="1"/>
  <c r="K13" i="3"/>
  <c r="J13" i="3"/>
  <c r="J32" i="3" s="1"/>
  <c r="I13" i="3"/>
  <c r="I29" i="3" s="1"/>
  <c r="H13" i="3"/>
  <c r="H32" i="3" s="1"/>
  <c r="G13" i="3"/>
  <c r="G32" i="3" s="1"/>
  <c r="F13" i="3"/>
  <c r="F29" i="3" s="1"/>
  <c r="E13" i="3"/>
  <c r="E32" i="3" s="1"/>
  <c r="D13" i="3"/>
  <c r="D32" i="3" s="1"/>
  <c r="C13" i="3"/>
  <c r="B13" i="3"/>
  <c r="B32" i="3" s="1"/>
  <c r="I9" i="3"/>
  <c r="I8" i="3" s="1"/>
  <c r="F9" i="3"/>
  <c r="F8" i="3" s="1"/>
  <c r="E9" i="3"/>
  <c r="E8" i="3" s="1"/>
  <c r="D9" i="3"/>
  <c r="D8" i="3" s="1"/>
  <c r="M5" i="3"/>
  <c r="L5" i="3"/>
  <c r="K5" i="3"/>
  <c r="J5" i="3"/>
  <c r="I5" i="3"/>
  <c r="H5" i="3"/>
  <c r="G5" i="3"/>
  <c r="F5" i="3"/>
  <c r="E5" i="3"/>
  <c r="D5" i="3"/>
  <c r="C5" i="3"/>
  <c r="B5" i="3"/>
  <c r="J29" i="2"/>
  <c r="M28" i="2"/>
  <c r="K28" i="2"/>
  <c r="J28" i="2"/>
  <c r="E28" i="2"/>
  <c r="D28" i="2"/>
  <c r="C28" i="2"/>
  <c r="M21" i="2"/>
  <c r="M30" i="2" s="1"/>
  <c r="L21" i="2"/>
  <c r="L30" i="2" s="1"/>
  <c r="K21" i="2"/>
  <c r="K30" i="2" s="1"/>
  <c r="J21" i="2"/>
  <c r="J30" i="2" s="1"/>
  <c r="I21" i="2"/>
  <c r="I30" i="2" s="1"/>
  <c r="H21" i="2"/>
  <c r="H30" i="2" s="1"/>
  <c r="G21" i="2"/>
  <c r="G30" i="2" s="1"/>
  <c r="F21" i="2"/>
  <c r="F30" i="2" s="1"/>
  <c r="E21" i="2"/>
  <c r="E30" i="2" s="1"/>
  <c r="D21" i="2"/>
  <c r="D30" i="2" s="1"/>
  <c r="C21" i="2"/>
  <c r="C30" i="2" s="1"/>
  <c r="B21" i="2"/>
  <c r="B30" i="2" s="1"/>
  <c r="M16" i="2"/>
  <c r="M29" i="2" s="1"/>
  <c r="L16" i="2"/>
  <c r="L29" i="2" s="1"/>
  <c r="K16" i="2"/>
  <c r="K29" i="2" s="1"/>
  <c r="J16" i="2"/>
  <c r="I16" i="2"/>
  <c r="I29" i="2" s="1"/>
  <c r="H16" i="2"/>
  <c r="H29" i="2" s="1"/>
  <c r="G16" i="2"/>
  <c r="G29" i="2" s="1"/>
  <c r="F16" i="2"/>
  <c r="F29" i="2" s="1"/>
  <c r="E16" i="2"/>
  <c r="E29" i="2" s="1"/>
  <c r="D16" i="2"/>
  <c r="D29" i="2" s="1"/>
  <c r="C16" i="2"/>
  <c r="C29" i="2" s="1"/>
  <c r="B16" i="2"/>
  <c r="B29" i="2" s="1"/>
  <c r="M13" i="2"/>
  <c r="L13" i="2"/>
  <c r="K13" i="2"/>
  <c r="J13" i="2"/>
  <c r="I13" i="2"/>
  <c r="I28" i="2" s="1"/>
  <c r="H13" i="2"/>
  <c r="H28" i="2" s="1"/>
  <c r="G13" i="2"/>
  <c r="G28" i="2" s="1"/>
  <c r="F13" i="2"/>
  <c r="F28" i="2" s="1"/>
  <c r="E13" i="2"/>
  <c r="D13" i="2"/>
  <c r="C13" i="2"/>
  <c r="B13" i="2"/>
  <c r="B28" i="2" s="1"/>
  <c r="M9" i="2"/>
  <c r="M8" i="2" s="1"/>
  <c r="K9" i="2"/>
  <c r="K8" i="2" s="1"/>
  <c r="E9" i="2"/>
  <c r="E8" i="2" s="1"/>
  <c r="D8" i="2"/>
  <c r="C8" i="2"/>
  <c r="C27" i="2" s="1"/>
  <c r="B8" i="2"/>
  <c r="B27" i="2" s="1"/>
  <c r="M5" i="2"/>
  <c r="L5" i="2"/>
  <c r="K5" i="2"/>
  <c r="J5" i="2"/>
  <c r="I5" i="2"/>
  <c r="H5" i="2"/>
  <c r="G5" i="2"/>
  <c r="F5" i="2"/>
  <c r="E5" i="2"/>
  <c r="D5" i="2"/>
  <c r="C5" i="2"/>
  <c r="B5" i="2"/>
  <c r="I29" i="7" l="1"/>
  <c r="B31" i="7"/>
  <c r="B33" i="7" s="1"/>
  <c r="C28" i="7" s="1"/>
  <c r="I32" i="3"/>
  <c r="F32" i="3"/>
  <c r="H35" i="3"/>
  <c r="I35" i="3" s="1"/>
  <c r="J35" i="3" s="1"/>
  <c r="K35" i="3" s="1"/>
  <c r="L35" i="3" s="1"/>
  <c r="M35" i="3" s="1"/>
  <c r="M17" i="3"/>
  <c r="M30" i="3" s="1"/>
  <c r="K8" i="3"/>
  <c r="J17" i="3"/>
  <c r="J30" i="3" s="1"/>
  <c r="B31" i="2"/>
  <c r="C6" i="2" s="1"/>
  <c r="C31" i="2"/>
  <c r="C33" i="7" l="1"/>
  <c r="D6" i="2"/>
  <c r="D27" i="2" s="1"/>
  <c r="D31" i="2" s="1"/>
  <c r="C6" i="7" l="1"/>
  <c r="D28" i="7"/>
  <c r="D33" i="7" s="1"/>
  <c r="E6" i="2"/>
  <c r="E27" i="2"/>
  <c r="E31" i="2" s="1"/>
  <c r="D6" i="7" l="1"/>
  <c r="E28" i="7"/>
  <c r="E33" i="7"/>
  <c r="F6" i="2"/>
  <c r="F27" i="2"/>
  <c r="F31" i="2" s="1"/>
  <c r="E6" i="7" l="1"/>
  <c r="F28" i="7"/>
  <c r="F33" i="7"/>
  <c r="G6" i="2"/>
  <c r="G27" i="2"/>
  <c r="G31" i="2" s="1"/>
  <c r="F6" i="7" l="1"/>
  <c r="G28" i="7"/>
  <c r="G33" i="7" s="1"/>
  <c r="H6" i="2"/>
  <c r="H27" i="2"/>
  <c r="H31" i="2" s="1"/>
  <c r="H33" i="7" l="1"/>
  <c r="I6" i="2"/>
  <c r="I27" i="2"/>
  <c r="I31" i="2" s="1"/>
  <c r="I33" i="7" l="1"/>
  <c r="J33" i="7" s="1"/>
  <c r="J27" i="2"/>
  <c r="J31" i="2" s="1"/>
  <c r="J6" i="2"/>
  <c r="K33" i="7" l="1"/>
  <c r="K27" i="2"/>
  <c r="K31" i="2" s="1"/>
  <c r="K6" i="2"/>
  <c r="L33" i="7" l="1"/>
  <c r="L27" i="2"/>
  <c r="L31" i="2" s="1"/>
  <c r="L6" i="2"/>
  <c r="M33" i="7" l="1"/>
  <c r="M6" i="2"/>
  <c r="M27" i="2"/>
  <c r="M31" i="2" s="1"/>
  <c r="B6" i="3" l="1"/>
  <c r="B28" i="3"/>
  <c r="B33" i="3" s="1"/>
  <c r="C6" i="3" l="1"/>
  <c r="C28" i="3"/>
  <c r="C33" i="3" s="1"/>
  <c r="D28" i="3" s="1"/>
  <c r="D33" i="3" s="1"/>
  <c r="E28" i="3" s="1"/>
  <c r="E33" i="3" s="1"/>
  <c r="D6" i="3" l="1"/>
  <c r="E6" i="3" l="1"/>
  <c r="F6" i="3" l="1"/>
  <c r="F28" i="3"/>
  <c r="F33" i="3" s="1"/>
  <c r="G28" i="3" l="1"/>
  <c r="G33" i="3" s="1"/>
  <c r="G6" i="3"/>
  <c r="H28" i="3" l="1"/>
  <c r="H33" i="3" s="1"/>
  <c r="I28" i="3" l="1"/>
  <c r="I33" i="3" s="1"/>
  <c r="H6" i="3" l="1"/>
  <c r="I6" i="3"/>
  <c r="J28" i="3"/>
  <c r="J33" i="3" s="1"/>
  <c r="J6" i="3" s="1"/>
  <c r="K28" i="3" l="1"/>
  <c r="K33" i="3" s="1"/>
  <c r="K6" i="3"/>
  <c r="L28" i="3"/>
  <c r="L33" i="3" s="1"/>
  <c r="M28" i="3" l="1"/>
  <c r="L6" i="3"/>
  <c r="M33" i="3" l="1"/>
  <c r="B6" i="7" s="1"/>
  <c r="M6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2" authorId="0" shapeId="0" xr:uid="{00000000-0006-0000-0100-000001000000}">
      <text>
        <r>
          <rPr>
            <sz val="10"/>
            <color rgb="FF000000"/>
            <rFont val="Arial"/>
            <scheme val="minor"/>
          </rPr>
          <t xml:space="preserve">Jessica Canella:
Visita tecnica garagem 
</t>
        </r>
      </text>
    </comment>
    <comment ref="C24" authorId="0" shapeId="0" xr:uid="{00000000-0006-0000-0100-000002000000}">
      <text>
        <r>
          <rPr>
            <sz val="10"/>
            <color rgb="FF000000"/>
            <rFont val="Arial"/>
            <scheme val="minor"/>
          </rPr>
          <t xml:space="preserve">Jessica Canella:
Mangueira
</t>
        </r>
      </text>
    </comment>
    <comment ref="D24" authorId="0" shapeId="0" xr:uid="{00000000-0006-0000-0100-000003000000}">
      <text>
        <r>
          <rPr>
            <sz val="10"/>
            <color rgb="FF000000"/>
            <rFont val="Arial"/>
            <scheme val="minor"/>
          </rPr>
          <t xml:space="preserve">Jessica Canella:
Tampas garagem 
</t>
        </r>
      </text>
    </comment>
    <comment ref="J24" authorId="0" shapeId="0" xr:uid="{00000000-0006-0000-0100-000004000000}">
      <text>
        <r>
          <rPr>
            <sz val="10"/>
            <color rgb="FF000000"/>
            <rFont val="Arial"/>
            <scheme val="minor"/>
          </rPr>
          <t xml:space="preserve">Jessica Canella:
Problema na leitura, foi pago em 19/09 
</t>
        </r>
      </text>
    </comment>
    <comment ref="L24" authorId="0" shapeId="0" xr:uid="{00000000-0006-0000-0100-000005000000}">
      <text>
        <r>
          <rPr>
            <sz val="10"/>
            <color rgb="FF000000"/>
            <rFont val="Arial"/>
            <scheme val="minor"/>
          </rPr>
          <t xml:space="preserve">Jessica Canella:
Compra de protetores 
*crédito Osmar 
</t>
        </r>
      </text>
    </comment>
    <comment ref="M24" authorId="0" shapeId="0" xr:uid="{00000000-0006-0000-0100-000006000000}">
      <text>
        <r>
          <rPr>
            <sz val="10"/>
            <color rgb="FF000000"/>
            <rFont val="Arial"/>
            <scheme val="minor"/>
          </rPr>
          <t xml:space="preserve">Jessica Canella:
Compra de sacos entulho  
*crédito apto Osmar </t>
        </r>
      </text>
    </comment>
  </commentList>
</comments>
</file>

<file path=xl/sharedStrings.xml><?xml version="1.0" encoding="utf-8"?>
<sst xmlns="http://schemas.openxmlformats.org/spreadsheetml/2006/main" count="133" uniqueCount="76">
  <si>
    <t>Facilite ainda mais o seu trabalho</t>
  </si>
  <si>
    <t>Conheça o aplicativo para o controle do condomínio usado em mais de 20 mil condomínios no Brasil, Estados Unidos, Canadá e México.</t>
  </si>
  <si>
    <t>INSTRUÇÕES</t>
  </si>
  <si>
    <t>Nome da aba</t>
  </si>
  <si>
    <t>Orientações</t>
  </si>
  <si>
    <t xml:space="preserve">Fluxo de caixa </t>
  </si>
  <si>
    <t xml:space="preserve">Esta aba serve para você controlar o fluxo de caixa e acompanhar o saldo do condomínio mês a mês. Na parte de receitas, você lista todas as fontes e valores de receita do condomínio. É possível adicionar linhas, caso haja mais fontes de renda. Em Outras Contas você deve atualizar o saldo de outras contas do condomínio. Em Despesas, adicione todas as despesas de valor fixo e que acontecem todo o mês. Em despesas variáveis, as despesas que tem custos diferentes todos os meses. Em Saldo Atual, você conseguirá verificar os saldos de cada conta do condomínio. </t>
  </si>
  <si>
    <t>Manutenções</t>
  </si>
  <si>
    <t xml:space="preserve">Aqui você consegue listar todos os itens por área do condomínio que precisam ser verificados de modo periódico e controlar as datas de manutenção de cada item. </t>
  </si>
  <si>
    <t xml:space="preserve">Controle de visitantes </t>
  </si>
  <si>
    <t xml:space="preserve">Para mais segurança no condomínio, insira as informações de todos os visitantes e prestadores de serviço com data e horário de entrada e saída do condomínio. No caso de prestadores de serviço, você deve adicionar também o nome da empresa daquele prestador de serviço. </t>
  </si>
  <si>
    <t>Reservas</t>
  </si>
  <si>
    <t xml:space="preserve">Para controlar as reservas, utilize apenas este calendário para reserva de dependências do condomínio. Adicione nome do morador, unidade e qual dependência ele está reservando. </t>
  </si>
  <si>
    <t xml:space="preserve">Escala de funcionários </t>
  </si>
  <si>
    <t>Para organizar os horários de trabalho dos funcionários, liste primeiro todos os funcionários. Após, pinte o quadrado com o dia e turno que ele estará trabalhando. Coloque um "F" nos dias e turnos que ele estará de folga. Você pode editar as informações de turnos de trabalho de acordo com o que acontece no seu condomínio.</t>
  </si>
  <si>
    <t xml:space="preserve">Funcionários e lançamento de férias </t>
  </si>
  <si>
    <t xml:space="preserve">As abas Funcionários e Lançamentos de férias são interligadas. Ou seja, funcionam de modo conjunto. Para controle de férias e funcionários, você deve adicionar o nome do funcionário e a data de início. Quando este solicitar férias, você deve selecioná-lo na aba Lançamento de férias, adicionar a data de início e final de férias. A planilha calculará o saldo atual de férias daquele funcionário. </t>
  </si>
  <si>
    <t>Planilha Financeira do Condomínio:</t>
  </si>
  <si>
    <t>FERNANDO LONA</t>
  </si>
  <si>
    <t>Responsável:</t>
  </si>
  <si>
    <t>crisjessi10@icloud.com</t>
  </si>
  <si>
    <t>Ano de Referência:</t>
  </si>
  <si>
    <t>Mês</t>
  </si>
  <si>
    <t>SALDO Total (Caixa)</t>
  </si>
  <si>
    <t>RECEITAS</t>
  </si>
  <si>
    <t>Cotas Condominiais (Até dia 08)</t>
  </si>
  <si>
    <t>Rendimentos</t>
  </si>
  <si>
    <t>DESPESAS FIXAS</t>
  </si>
  <si>
    <t>Outras</t>
  </si>
  <si>
    <t>DESPESAS VARIÁVEIS</t>
  </si>
  <si>
    <t>Água (venc. Dia 10)</t>
  </si>
  <si>
    <t>Luz  (venc. Dia 21)</t>
  </si>
  <si>
    <t xml:space="preserve">Faxina </t>
  </si>
  <si>
    <t>DESPESAS EXTRAS</t>
  </si>
  <si>
    <t>Obras</t>
  </si>
  <si>
    <t>Consertos</t>
  </si>
  <si>
    <t>SALDO DETALHADO - BALANCETE</t>
  </si>
  <si>
    <t>Receitas</t>
  </si>
  <si>
    <t>Rendimento</t>
  </si>
  <si>
    <t>Despesas Variáveis</t>
  </si>
  <si>
    <t>Despesas Extras</t>
  </si>
  <si>
    <t>Saldo do Mês</t>
  </si>
  <si>
    <t>Outras (Encanamento Garagem)</t>
  </si>
  <si>
    <t xml:space="preserve">despesa Fabricio </t>
  </si>
  <si>
    <t>Informações detalhadas sobre o pagamento do condomínio</t>
  </si>
  <si>
    <t>Número de apartamentos:</t>
  </si>
  <si>
    <t>Apartamento</t>
  </si>
  <si>
    <t>Total</t>
  </si>
  <si>
    <t>CONTROLE DE MANUTENÇÕES</t>
  </si>
  <si>
    <t xml:space="preserve">Item </t>
  </si>
  <si>
    <t xml:space="preserve">Data </t>
  </si>
  <si>
    <t>Em ordem? S/N</t>
  </si>
  <si>
    <t xml:space="preserve">Descrição </t>
  </si>
  <si>
    <t xml:space="preserve">Providências </t>
  </si>
  <si>
    <t>Valor</t>
  </si>
  <si>
    <t xml:space="preserve">Extintores </t>
  </si>
  <si>
    <t xml:space="preserve">Luz de emergência </t>
  </si>
  <si>
    <t xml:space="preserve">Iluminação </t>
  </si>
  <si>
    <t xml:space="preserve">Interfones </t>
  </si>
  <si>
    <t>Lixeira</t>
  </si>
  <si>
    <t xml:space="preserve">Escadarias </t>
  </si>
  <si>
    <t xml:space="preserve">Pinturas </t>
  </si>
  <si>
    <t>Cerca Elétrica</t>
  </si>
  <si>
    <t xml:space="preserve">Limpeza geral </t>
  </si>
  <si>
    <t xml:space="preserve">lavagem da garagem </t>
  </si>
  <si>
    <t xml:space="preserve">Lavagem da garagem </t>
  </si>
  <si>
    <t>Detetização</t>
  </si>
  <si>
    <t xml:space="preserve">Garagem </t>
  </si>
  <si>
    <t xml:space="preserve">Piso </t>
  </si>
  <si>
    <t>Sistema de segurança (câmeras)</t>
  </si>
  <si>
    <t>Instalações de gás</t>
  </si>
  <si>
    <t xml:space="preserve">Caixa de luz </t>
  </si>
  <si>
    <t>Pintura fachadas</t>
  </si>
  <si>
    <t xml:space="preserve">OUTROS </t>
  </si>
  <si>
    <t>IR/IOF</t>
  </si>
  <si>
    <t>Despesas Fixas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</si>
</sst>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R$&quot;\ #,##0;[Red]\-&quot;R$&quot;\ #,##0"/>
    <numFmt numFmtId="7" formatCode="&quot;R$&quot;\ #,##0.00;\-&quot;R$&quot;\ #,##0.00"/>
    <numFmt numFmtId="8" formatCode="&quot;R$&quot;\ #,##0.00;[Red]\-&quot;R$&quot;\ #,##0.00"/>
    <numFmt numFmtId="164" formatCode="&quot;R$&quot;#,##0.00;[Red]\-&quot;R$&quot;#,##0.00"/>
    <numFmt numFmtId="165" formatCode="&quot;R$&quot;#,##0.00;[Red]&quot;R$&quot;#,##0.00"/>
    <numFmt numFmtId="166" formatCode="&quot;R$&quot;\ #,##0.00"/>
  </numFmts>
  <fonts count="33" x14ac:knownFonts="1">
    <font>
      <sz val="10"/>
      <color rgb="FF000000"/>
      <name val="Arial"/>
      <scheme val="minor"/>
    </font>
    <font>
      <sz val="12"/>
      <color rgb="FFFFFFFF"/>
      <name val="Calibri"/>
    </font>
    <font>
      <b/>
      <sz val="14"/>
      <color rgb="FF000000"/>
      <name val="Calibri"/>
    </font>
    <font>
      <sz val="10"/>
      <name val="Arial"/>
    </font>
    <font>
      <b/>
      <u/>
      <sz val="11"/>
      <color rgb="FF0000FF"/>
      <name val="Calibri"/>
    </font>
    <font>
      <sz val="13"/>
      <color rgb="FFFFFFFF"/>
      <name val="Calibri"/>
    </font>
    <font>
      <i/>
      <sz val="11"/>
      <color rgb="FFFFFFFF"/>
      <name val="Calibri"/>
    </font>
    <font>
      <sz val="10"/>
      <color theme="1"/>
      <name val="Calibri"/>
    </font>
    <font>
      <sz val="12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  <font>
      <u/>
      <sz val="10"/>
      <color theme="10"/>
      <name val="Arial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006411"/>
      <name val="Calibri"/>
    </font>
    <font>
      <b/>
      <sz val="10"/>
      <color rgb="FF006600"/>
      <name val="Arial"/>
    </font>
    <font>
      <sz val="14"/>
      <color theme="1"/>
      <name val="Calibri"/>
    </font>
    <font>
      <sz val="10"/>
      <color rgb="FF000000"/>
      <name val="Arial"/>
    </font>
    <font>
      <sz val="10"/>
      <color rgb="FF000000"/>
      <name val="Calibri"/>
    </font>
    <font>
      <b/>
      <sz val="10"/>
      <color rgb="FF000000"/>
      <name val="Calibri"/>
    </font>
    <font>
      <b/>
      <sz val="10"/>
      <color theme="1"/>
      <name val="Calibri"/>
    </font>
    <font>
      <b/>
      <sz val="10"/>
      <color rgb="FF006411"/>
      <name val="Calibri"/>
    </font>
    <font>
      <sz val="10"/>
      <color rgb="FFFF0000"/>
      <name val="Arial"/>
    </font>
    <font>
      <b/>
      <sz val="12"/>
      <color theme="1"/>
      <name val="Calibri"/>
    </font>
    <font>
      <b/>
      <sz val="12"/>
      <color rgb="FFDD0806"/>
      <name val="Calibri"/>
    </font>
    <font>
      <sz val="12"/>
      <color rgb="FF000000"/>
      <name val="Calibri"/>
    </font>
    <font>
      <i/>
      <sz val="12"/>
      <color theme="1"/>
      <name val="Calibri"/>
    </font>
    <font>
      <sz val="11"/>
      <color rgb="FFFFFFFF"/>
      <name val="Calibri"/>
    </font>
    <font>
      <u/>
      <sz val="10"/>
      <color rgb="FF000000"/>
      <name val="Calibri"/>
      <family val="2"/>
    </font>
    <font>
      <sz val="10"/>
      <color rgb="FF000000"/>
      <name val="Arial"/>
      <family val="2"/>
      <scheme val="minor"/>
    </font>
    <font>
      <sz val="10"/>
      <color rgb="FF000000"/>
      <name val="Calibri"/>
      <family val="2"/>
    </font>
    <font>
      <u/>
      <sz val="10"/>
      <color rgb="FF000000"/>
      <name val="Arial"/>
      <family val="2"/>
      <scheme val="minor"/>
    </font>
    <font>
      <sz val="12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7EBC0A"/>
        <bgColor rgb="FF7EBC0A"/>
      </patternFill>
    </fill>
    <fill>
      <patternFill patternType="solid">
        <fgColor rgb="FF5D837E"/>
        <bgColor rgb="FF5D837E"/>
      </patternFill>
    </fill>
    <fill>
      <patternFill patternType="solid">
        <fgColor rgb="FFD8D8D8"/>
        <bgColor rgb="FFD8D8D8"/>
      </patternFill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  <fill>
      <patternFill patternType="solid">
        <fgColor rgb="FF8DB3E2"/>
        <bgColor rgb="FF8DB3E2"/>
      </patternFill>
    </fill>
    <fill>
      <patternFill patternType="solid">
        <fgColor rgb="FFFABF8F"/>
        <bgColor rgb="FFFABF8F"/>
      </patternFill>
    </fill>
    <fill>
      <patternFill patternType="solid">
        <fgColor rgb="FFFCF305"/>
        <bgColor rgb="FFFCF305"/>
      </patternFill>
    </fill>
    <fill>
      <patternFill patternType="solid">
        <fgColor rgb="FFBFBFBF"/>
        <bgColor rgb="FFBFBFBF"/>
      </patternFill>
    </fill>
    <fill>
      <patternFill patternType="solid">
        <fgColor rgb="FF8BB3AD"/>
        <bgColor rgb="FF8BB3AD"/>
      </patternFill>
    </fill>
    <fill>
      <patternFill patternType="solid">
        <fgColor rgb="FFEFEFEF"/>
        <bgColor rgb="FFEFEFEF"/>
      </patternFill>
    </fill>
  </fills>
  <borders count="5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thin">
        <color rgb="FF666666"/>
      </left>
      <right/>
      <top style="thin">
        <color rgb="FF666666"/>
      </top>
      <bottom/>
      <diagonal/>
    </border>
    <border>
      <left/>
      <right/>
      <top style="thin">
        <color rgb="FF666666"/>
      </top>
      <bottom/>
      <diagonal/>
    </border>
    <border>
      <left/>
      <right style="thin">
        <color rgb="FF666666"/>
      </right>
      <top style="thin">
        <color rgb="FF666666"/>
      </top>
      <bottom/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thin">
        <color rgb="FF666666"/>
      </left>
      <right/>
      <top/>
      <bottom/>
      <diagonal/>
    </border>
    <border>
      <left/>
      <right/>
      <top/>
      <bottom/>
      <diagonal/>
    </border>
    <border>
      <left/>
      <right style="thin">
        <color rgb="FF666666"/>
      </right>
      <top/>
      <bottom/>
      <diagonal/>
    </border>
    <border>
      <left style="thin">
        <color rgb="FF666666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666666"/>
      </right>
      <top/>
      <bottom style="thin">
        <color rgb="FF999999"/>
      </bottom>
      <diagonal/>
    </border>
    <border>
      <left style="thin">
        <color rgb="FF666666"/>
      </left>
      <right/>
      <top/>
      <bottom/>
      <diagonal/>
    </border>
    <border>
      <left/>
      <right style="thin">
        <color rgb="FF666666"/>
      </right>
      <top/>
      <bottom/>
      <diagonal/>
    </border>
    <border>
      <left style="thin">
        <color rgb="FF666666"/>
      </left>
      <right/>
      <top/>
      <bottom style="thin">
        <color rgb="FF666666"/>
      </bottom>
      <diagonal/>
    </border>
    <border>
      <left/>
      <right/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7B7B7"/>
      </left>
      <right/>
      <top style="thin">
        <color rgb="FF000000"/>
      </top>
      <bottom style="thin">
        <color rgb="FF000000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2" borderId="24" xfId="0" applyFont="1" applyFill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8" fillId="0" borderId="26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9" fillId="0" borderId="0" xfId="0" applyFont="1" applyAlignment="1">
      <alignment horizontal="right" vertical="center"/>
    </xf>
    <xf numFmtId="0" fontId="8" fillId="0" borderId="28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8" fillId="0" borderId="30" xfId="0" applyFont="1" applyBorder="1" applyAlignment="1">
      <alignment vertical="center"/>
    </xf>
    <xf numFmtId="0" fontId="8" fillId="0" borderId="31" xfId="0" applyFont="1" applyBorder="1" applyAlignment="1">
      <alignment vertical="center"/>
    </xf>
    <xf numFmtId="0" fontId="8" fillId="0" borderId="3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vertical="center"/>
    </xf>
    <xf numFmtId="164" fontId="14" fillId="8" borderId="1" xfId="0" applyNumberFormat="1" applyFont="1" applyFill="1" applyBorder="1" applyAlignment="1">
      <alignment horizontal="right" vertical="center"/>
    </xf>
    <xf numFmtId="164" fontId="15" fillId="8" borderId="1" xfId="0" applyNumberFormat="1" applyFont="1" applyFill="1" applyBorder="1" applyAlignment="1">
      <alignment horizontal="right" vertical="center"/>
    </xf>
    <xf numFmtId="165" fontId="8" fillId="0" borderId="31" xfId="0" applyNumberFormat="1" applyFont="1" applyBorder="1" applyAlignment="1">
      <alignment vertical="center"/>
    </xf>
    <xf numFmtId="165" fontId="8" fillId="0" borderId="33" xfId="0" applyNumberFormat="1" applyFont="1" applyBorder="1" applyAlignment="1">
      <alignment vertical="center"/>
    </xf>
    <xf numFmtId="0" fontId="10" fillId="9" borderId="34" xfId="0" applyFont="1" applyFill="1" applyBorder="1" applyAlignment="1">
      <alignment vertical="center"/>
    </xf>
    <xf numFmtId="164" fontId="10" fillId="9" borderId="34" xfId="0" applyNumberFormat="1" applyFont="1" applyFill="1" applyBorder="1" applyAlignment="1">
      <alignment horizontal="right" vertical="center"/>
    </xf>
    <xf numFmtId="0" fontId="9" fillId="0" borderId="35" xfId="0" applyFont="1" applyBorder="1" applyAlignment="1">
      <alignment vertical="center"/>
    </xf>
    <xf numFmtId="164" fontId="12" fillId="0" borderId="0" xfId="0" applyNumberFormat="1" applyFont="1" applyAlignment="1">
      <alignment horizontal="right"/>
    </xf>
    <xf numFmtId="164" fontId="12" fillId="0" borderId="36" xfId="0" applyNumberFormat="1" applyFont="1" applyBorder="1" applyAlignment="1">
      <alignment horizontal="right"/>
    </xf>
    <xf numFmtId="164" fontId="8" fillId="0" borderId="36" xfId="0" applyNumberFormat="1" applyFont="1" applyBorder="1" applyAlignment="1">
      <alignment vertical="center"/>
    </xf>
    <xf numFmtId="164" fontId="8" fillId="0" borderId="37" xfId="0" applyNumberFormat="1" applyFont="1" applyBorder="1" applyAlignment="1">
      <alignment vertical="center"/>
    </xf>
    <xf numFmtId="164" fontId="16" fillId="0" borderId="37" xfId="0" applyNumberFormat="1" applyFont="1" applyBorder="1" applyAlignment="1">
      <alignment vertical="center"/>
    </xf>
    <xf numFmtId="0" fontId="10" fillId="10" borderId="34" xfId="0" applyFont="1" applyFill="1" applyBorder="1" applyAlignment="1">
      <alignment vertical="center"/>
    </xf>
    <xf numFmtId="164" fontId="10" fillId="10" borderId="34" xfId="0" applyNumberFormat="1" applyFont="1" applyFill="1" applyBorder="1" applyAlignment="1">
      <alignment horizontal="right" vertical="center"/>
    </xf>
    <xf numFmtId="164" fontId="9" fillId="0" borderId="37" xfId="0" applyNumberFormat="1" applyFont="1" applyBorder="1" applyAlignment="1">
      <alignment horizontal="right" vertical="center"/>
    </xf>
    <xf numFmtId="164" fontId="12" fillId="0" borderId="37" xfId="0" applyNumberFormat="1" applyFont="1" applyBorder="1" applyAlignment="1">
      <alignment vertical="center"/>
    </xf>
    <xf numFmtId="166" fontId="17" fillId="0" borderId="0" xfId="0" applyNumberFormat="1" applyFont="1"/>
    <xf numFmtId="0" fontId="10" fillId="7" borderId="34" xfId="0" applyFont="1" applyFill="1" applyBorder="1" applyAlignment="1">
      <alignment vertical="center"/>
    </xf>
    <xf numFmtId="164" fontId="8" fillId="7" borderId="34" xfId="0" applyNumberFormat="1" applyFont="1" applyFill="1" applyBorder="1" applyAlignment="1">
      <alignment vertical="center"/>
    </xf>
    <xf numFmtId="164" fontId="12" fillId="0" borderId="37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7" fillId="0" borderId="26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18" fillId="0" borderId="0" xfId="0" applyFont="1" applyAlignment="1">
      <alignment horizontal="right" vertical="center"/>
    </xf>
    <xf numFmtId="0" fontId="7" fillId="0" borderId="28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30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3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19" fillId="6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vertical="center"/>
    </xf>
    <xf numFmtId="164" fontId="21" fillId="8" borderId="1" xfId="0" applyNumberFormat="1" applyFont="1" applyFill="1" applyBorder="1" applyAlignment="1">
      <alignment horizontal="right" vertical="center"/>
    </xf>
    <xf numFmtId="165" fontId="7" fillId="0" borderId="31" xfId="0" applyNumberFormat="1" applyFont="1" applyBorder="1" applyAlignment="1">
      <alignment vertical="center"/>
    </xf>
    <xf numFmtId="165" fontId="7" fillId="0" borderId="33" xfId="0" applyNumberFormat="1" applyFont="1" applyBorder="1" applyAlignment="1">
      <alignment vertical="center"/>
    </xf>
    <xf numFmtId="0" fontId="19" fillId="9" borderId="34" xfId="0" applyFont="1" applyFill="1" applyBorder="1" applyAlignment="1">
      <alignment vertical="center"/>
    </xf>
    <xf numFmtId="164" fontId="19" fillId="9" borderId="34" xfId="0" applyNumberFormat="1" applyFont="1" applyFill="1" applyBorder="1" applyAlignment="1">
      <alignment horizontal="right" vertical="center"/>
    </xf>
    <xf numFmtId="0" fontId="18" fillId="0" borderId="35" xfId="0" applyFont="1" applyBorder="1" applyAlignment="1">
      <alignment vertical="center"/>
    </xf>
    <xf numFmtId="164" fontId="7" fillId="0" borderId="0" xfId="0" applyNumberFormat="1" applyFont="1" applyAlignment="1">
      <alignment horizontal="right"/>
    </xf>
    <xf numFmtId="164" fontId="7" fillId="0" borderId="36" xfId="0" applyNumberFormat="1" applyFont="1" applyBorder="1" applyAlignment="1">
      <alignment horizontal="right"/>
    </xf>
    <xf numFmtId="164" fontId="7" fillId="0" borderId="36" xfId="0" applyNumberFormat="1" applyFont="1" applyBorder="1" applyAlignment="1">
      <alignment vertical="center"/>
    </xf>
    <xf numFmtId="0" fontId="17" fillId="0" borderId="36" xfId="0" applyFont="1" applyBorder="1"/>
    <xf numFmtId="0" fontId="19" fillId="10" borderId="34" xfId="0" applyFont="1" applyFill="1" applyBorder="1" applyAlignment="1">
      <alignment vertical="center"/>
    </xf>
    <xf numFmtId="164" fontId="19" fillId="10" borderId="34" xfId="0" applyNumberFormat="1" applyFont="1" applyFill="1" applyBorder="1" applyAlignment="1">
      <alignment horizontal="right" vertical="center"/>
    </xf>
    <xf numFmtId="164" fontId="7" fillId="0" borderId="37" xfId="0" applyNumberFormat="1" applyFont="1" applyBorder="1" applyAlignment="1">
      <alignment vertical="center"/>
    </xf>
    <xf numFmtId="164" fontId="18" fillId="0" borderId="37" xfId="0" applyNumberFormat="1" applyFont="1" applyBorder="1" applyAlignment="1">
      <alignment horizontal="right" vertical="center"/>
    </xf>
    <xf numFmtId="0" fontId="19" fillId="7" borderId="34" xfId="0" applyFont="1" applyFill="1" applyBorder="1" applyAlignment="1">
      <alignment vertical="center"/>
    </xf>
    <xf numFmtId="164" fontId="7" fillId="7" borderId="34" xfId="0" applyNumberFormat="1" applyFont="1" applyFill="1" applyBorder="1" applyAlignment="1">
      <alignment vertical="center"/>
    </xf>
    <xf numFmtId="164" fontId="7" fillId="0" borderId="37" xfId="0" applyNumberFormat="1" applyFont="1" applyBorder="1" applyAlignment="1">
      <alignment horizontal="right" vertical="center"/>
    </xf>
    <xf numFmtId="0" fontId="19" fillId="0" borderId="0" xfId="0" applyFont="1" applyAlignment="1">
      <alignment vertical="center"/>
    </xf>
    <xf numFmtId="6" fontId="17" fillId="0" borderId="0" xfId="0" applyNumberFormat="1" applyFont="1"/>
    <xf numFmtId="8" fontId="17" fillId="0" borderId="0" xfId="0" applyNumberFormat="1" applyFont="1"/>
    <xf numFmtId="8" fontId="22" fillId="0" borderId="0" xfId="0" applyNumberFormat="1" applyFont="1"/>
    <xf numFmtId="0" fontId="23" fillId="0" borderId="0" xfId="0" applyFont="1" applyAlignment="1">
      <alignment horizontal="center"/>
    </xf>
    <xf numFmtId="0" fontId="8" fillId="0" borderId="0" xfId="0" applyFont="1"/>
    <xf numFmtId="0" fontId="24" fillId="11" borderId="36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36" xfId="0" applyFont="1" applyBorder="1" applyAlignment="1">
      <alignment horizontal="center"/>
    </xf>
    <xf numFmtId="0" fontId="13" fillId="6" borderId="36" xfId="0" applyFont="1" applyFill="1" applyBorder="1" applyAlignment="1">
      <alignment horizontal="center"/>
    </xf>
    <xf numFmtId="17" fontId="13" fillId="6" borderId="36" xfId="0" applyNumberFormat="1" applyFont="1" applyFill="1" applyBorder="1" applyAlignment="1">
      <alignment horizontal="center"/>
    </xf>
    <xf numFmtId="166" fontId="8" fillId="0" borderId="0" xfId="0" applyNumberFormat="1" applyFont="1" applyAlignment="1">
      <alignment horizontal="center"/>
    </xf>
    <xf numFmtId="7" fontId="8" fillId="0" borderId="0" xfId="0" applyNumberFormat="1" applyFont="1" applyAlignment="1">
      <alignment horizontal="center"/>
    </xf>
    <xf numFmtId="166" fontId="25" fillId="0" borderId="0" xfId="0" applyNumberFormat="1" applyFont="1" applyAlignment="1">
      <alignment horizontal="center" vertical="center"/>
    </xf>
    <xf numFmtId="166" fontId="25" fillId="0" borderId="0" xfId="0" applyNumberFormat="1" applyFont="1" applyAlignment="1">
      <alignment horizontal="center"/>
    </xf>
    <xf numFmtId="2" fontId="25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166" fontId="23" fillId="0" borderId="0" xfId="0" applyNumberFormat="1" applyFont="1" applyAlignment="1">
      <alignment horizontal="center"/>
    </xf>
    <xf numFmtId="0" fontId="17" fillId="0" borderId="0" xfId="0" applyFont="1"/>
    <xf numFmtId="0" fontId="7" fillId="0" borderId="41" xfId="0" applyFont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/>
    </xf>
    <xf numFmtId="0" fontId="7" fillId="0" borderId="43" xfId="0" applyFont="1" applyBorder="1"/>
    <xf numFmtId="0" fontId="7" fillId="0" borderId="42" xfId="0" applyFont="1" applyBorder="1" applyAlignment="1">
      <alignment horizontal="center" vertical="center"/>
    </xf>
    <xf numFmtId="0" fontId="7" fillId="14" borderId="47" xfId="0" applyFont="1" applyFill="1" applyBorder="1" applyAlignment="1">
      <alignment horizontal="center" vertical="center"/>
    </xf>
    <xf numFmtId="0" fontId="7" fillId="0" borderId="48" xfId="0" applyFont="1" applyBorder="1" applyAlignment="1">
      <alignment vertical="center"/>
    </xf>
    <xf numFmtId="0" fontId="7" fillId="0" borderId="42" xfId="0" applyFont="1" applyBorder="1" applyAlignment="1">
      <alignment vertical="center"/>
    </xf>
    <xf numFmtId="14" fontId="20" fillId="0" borderId="0" xfId="0" applyNumberFormat="1" applyFont="1" applyAlignment="1">
      <alignment horizontal="center" vertical="center"/>
    </xf>
    <xf numFmtId="2" fontId="7" fillId="0" borderId="48" xfId="0" applyNumberFormat="1" applyFont="1" applyBorder="1" applyAlignment="1">
      <alignment horizontal="center" vertical="center"/>
    </xf>
    <xf numFmtId="0" fontId="7" fillId="14" borderId="49" xfId="0" applyFont="1" applyFill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2" borderId="50" xfId="0" applyFont="1" applyFill="1" applyBorder="1" applyAlignment="1">
      <alignment vertical="center"/>
    </xf>
    <xf numFmtId="0" fontId="7" fillId="14" borderId="49" xfId="0" applyFont="1" applyFill="1" applyBorder="1" applyAlignment="1">
      <alignment horizontal="center" vertical="center" wrapText="1"/>
    </xf>
    <xf numFmtId="0" fontId="7" fillId="14" borderId="51" xfId="0" applyFont="1" applyFill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14" borderId="53" xfId="0" applyFont="1" applyFill="1" applyBorder="1" applyAlignment="1">
      <alignment horizontal="center" vertical="center"/>
    </xf>
    <xf numFmtId="14" fontId="7" fillId="0" borderId="39" xfId="0" applyNumberFormat="1" applyFont="1" applyBorder="1" applyAlignment="1">
      <alignment horizontal="center" vertical="center"/>
    </xf>
    <xf numFmtId="0" fontId="7" fillId="14" borderId="54" xfId="0" applyFont="1" applyFill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164" fontId="28" fillId="0" borderId="37" xfId="0" applyNumberFormat="1" applyFont="1" applyBorder="1" applyAlignment="1">
      <alignment horizontal="right" vertical="center"/>
    </xf>
    <xf numFmtId="0" fontId="29" fillId="0" borderId="0" xfId="0" applyFont="1"/>
    <xf numFmtId="164" fontId="30" fillId="0" borderId="37" xfId="0" applyNumberFormat="1" applyFont="1" applyBorder="1" applyAlignment="1">
      <alignment horizontal="right" vertical="center"/>
    </xf>
    <xf numFmtId="0" fontId="31" fillId="0" borderId="0" xfId="0" applyFont="1"/>
    <xf numFmtId="8" fontId="0" fillId="0" borderId="0" xfId="0" applyNumberFormat="1"/>
    <xf numFmtId="2" fontId="32" fillId="0" borderId="0" xfId="0" applyNumberFormat="1" applyFont="1" applyAlignment="1">
      <alignment horizontal="center"/>
    </xf>
    <xf numFmtId="8" fontId="31" fillId="0" borderId="0" xfId="0" applyNumberFormat="1" applyFont="1"/>
    <xf numFmtId="0" fontId="7" fillId="0" borderId="0" xfId="0" applyFont="1" applyAlignment="1">
      <alignment vertical="center"/>
    </xf>
    <xf numFmtId="0" fontId="0" fillId="0" borderId="0" xfId="0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3" fillId="0" borderId="18" xfId="0" applyFont="1" applyBorder="1"/>
    <xf numFmtId="0" fontId="3" fillId="0" borderId="20" xfId="0" applyFont="1" applyBorder="1"/>
    <xf numFmtId="0" fontId="3" fillId="0" borderId="21" xfId="0" applyFont="1" applyBorder="1"/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4" fillId="3" borderId="2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8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6" fillId="5" borderId="14" xfId="0" applyFont="1" applyFill="1" applyBorder="1" applyAlignment="1">
      <alignment horizontal="center" vertical="center" wrapText="1"/>
    </xf>
    <xf numFmtId="0" fontId="3" fillId="0" borderId="15" xfId="0" applyFont="1" applyBorder="1"/>
    <xf numFmtId="0" fontId="3" fillId="0" borderId="16" xfId="0" applyFont="1" applyBorder="1"/>
    <xf numFmtId="0" fontId="7" fillId="0" borderId="17" xfId="0" applyFont="1" applyBorder="1" applyAlignment="1">
      <alignment horizontal="center" vertical="center" wrapText="1"/>
    </xf>
    <xf numFmtId="0" fontId="3" fillId="0" borderId="17" xfId="0" applyFont="1" applyBorder="1"/>
    <xf numFmtId="0" fontId="3" fillId="0" borderId="19" xfId="0" applyFont="1" applyBorder="1"/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6" fillId="12" borderId="38" xfId="0" applyFont="1" applyFill="1" applyBorder="1" applyAlignment="1">
      <alignment horizontal="center"/>
    </xf>
    <xf numFmtId="0" fontId="3" fillId="0" borderId="39" xfId="0" applyFont="1" applyBorder="1"/>
    <xf numFmtId="0" fontId="3" fillId="0" borderId="40" xfId="0" applyFont="1" applyBorder="1"/>
    <xf numFmtId="0" fontId="1" fillId="4" borderId="2" xfId="0" applyFont="1" applyFill="1" applyBorder="1" applyAlignment="1">
      <alignment horizontal="center" vertical="center"/>
    </xf>
    <xf numFmtId="0" fontId="18" fillId="13" borderId="44" xfId="0" applyFont="1" applyFill="1" applyBorder="1" applyAlignment="1">
      <alignment horizontal="center" vertical="center"/>
    </xf>
    <xf numFmtId="0" fontId="3" fillId="0" borderId="45" xfId="0" applyFont="1" applyBorder="1"/>
    <xf numFmtId="0" fontId="3" fillId="0" borderId="4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ntato.townsq.com.br/controle-do-condominio-aplicativo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crisjessi10@icloud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risjessi10@icloud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crisjessi10@iclou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workbookViewId="0">
      <selection activeCell="B2" sqref="B2:L2"/>
    </sheetView>
  </sheetViews>
  <sheetFormatPr defaultColWidth="12.5703125" defaultRowHeight="15" customHeight="1" x14ac:dyDescent="0.2"/>
  <cols>
    <col min="1" max="1" width="11.42578125" customWidth="1"/>
    <col min="2" max="2" width="23.140625" customWidth="1"/>
    <col min="3" max="12" width="14.42578125" customWidth="1"/>
    <col min="13" max="13" width="11.42578125" customWidth="1"/>
  </cols>
  <sheetData>
    <row r="1" spans="1:13" ht="23.25" customHeight="1" x14ac:dyDescent="0.2">
      <c r="A1" s="1"/>
      <c r="B1" s="132" t="s">
        <v>0</v>
      </c>
      <c r="C1" s="133"/>
      <c r="D1" s="133"/>
      <c r="E1" s="133"/>
      <c r="F1" s="133"/>
      <c r="G1" s="133"/>
      <c r="H1" s="133"/>
      <c r="I1" s="133"/>
      <c r="J1" s="133"/>
      <c r="K1" s="133"/>
      <c r="L1" s="134"/>
      <c r="M1" s="1"/>
    </row>
    <row r="2" spans="1:13" ht="23.25" customHeight="1" x14ac:dyDescent="0.2">
      <c r="A2" s="1"/>
      <c r="B2" s="135" t="s">
        <v>1</v>
      </c>
      <c r="C2" s="133"/>
      <c r="D2" s="133"/>
      <c r="E2" s="133"/>
      <c r="F2" s="133"/>
      <c r="G2" s="133"/>
      <c r="H2" s="133"/>
      <c r="I2" s="133"/>
      <c r="J2" s="133"/>
      <c r="K2" s="133"/>
      <c r="L2" s="134"/>
      <c r="M2" s="1"/>
    </row>
    <row r="3" spans="1:13" ht="15.75" customHeight="1" x14ac:dyDescent="0.2">
      <c r="A3" s="2"/>
      <c r="B3" s="136" t="s">
        <v>2</v>
      </c>
      <c r="C3" s="137"/>
      <c r="D3" s="137"/>
      <c r="E3" s="137"/>
      <c r="F3" s="137"/>
      <c r="G3" s="137"/>
      <c r="H3" s="137"/>
      <c r="I3" s="137"/>
      <c r="J3" s="137"/>
      <c r="K3" s="137"/>
      <c r="L3" s="138"/>
      <c r="M3" s="2"/>
    </row>
    <row r="4" spans="1:13" ht="15.75" customHeight="1" x14ac:dyDescent="0.2">
      <c r="A4" s="3"/>
      <c r="B4" s="139"/>
      <c r="C4" s="140"/>
      <c r="D4" s="140"/>
      <c r="E4" s="140"/>
      <c r="F4" s="140"/>
      <c r="G4" s="140"/>
      <c r="H4" s="140"/>
      <c r="I4" s="140"/>
      <c r="J4" s="140"/>
      <c r="K4" s="140"/>
      <c r="L4" s="141"/>
      <c r="M4" s="3"/>
    </row>
    <row r="5" spans="1:13" ht="27" customHeight="1" x14ac:dyDescent="0.2">
      <c r="A5" s="4"/>
      <c r="B5" s="5" t="s">
        <v>3</v>
      </c>
      <c r="C5" s="142" t="s">
        <v>4</v>
      </c>
      <c r="D5" s="143"/>
      <c r="E5" s="143"/>
      <c r="F5" s="143"/>
      <c r="G5" s="143"/>
      <c r="H5" s="143"/>
      <c r="I5" s="143"/>
      <c r="J5" s="143"/>
      <c r="K5" s="143"/>
      <c r="L5" s="144"/>
      <c r="M5" s="4"/>
    </row>
    <row r="6" spans="1:13" ht="30.75" customHeight="1" x14ac:dyDescent="0.2">
      <c r="A6" s="6"/>
      <c r="B6" s="145" t="s">
        <v>5</v>
      </c>
      <c r="C6" s="128" t="s">
        <v>6</v>
      </c>
      <c r="D6" s="123"/>
      <c r="E6" s="123"/>
      <c r="F6" s="123"/>
      <c r="G6" s="123"/>
      <c r="H6" s="123"/>
      <c r="I6" s="123"/>
      <c r="J6" s="123"/>
      <c r="K6" s="123"/>
      <c r="L6" s="129"/>
      <c r="M6" s="6"/>
    </row>
    <row r="7" spans="1:13" ht="34.5" customHeight="1" x14ac:dyDescent="0.2">
      <c r="A7" s="6"/>
      <c r="B7" s="146"/>
      <c r="C7" s="123"/>
      <c r="D7" s="123"/>
      <c r="E7" s="123"/>
      <c r="F7" s="123"/>
      <c r="G7" s="123"/>
      <c r="H7" s="123"/>
      <c r="I7" s="123"/>
      <c r="J7" s="123"/>
      <c r="K7" s="123"/>
      <c r="L7" s="129"/>
      <c r="M7" s="6"/>
    </row>
    <row r="8" spans="1:13" ht="15.75" customHeight="1" x14ac:dyDescent="0.2">
      <c r="A8" s="6"/>
      <c r="B8" s="145" t="s">
        <v>7</v>
      </c>
      <c r="C8" s="128" t="s">
        <v>8</v>
      </c>
      <c r="D8" s="123"/>
      <c r="E8" s="123"/>
      <c r="F8" s="123"/>
      <c r="G8" s="123"/>
      <c r="H8" s="123"/>
      <c r="I8" s="123"/>
      <c r="J8" s="123"/>
      <c r="K8" s="123"/>
      <c r="L8" s="129"/>
      <c r="M8" s="6"/>
    </row>
    <row r="9" spans="1:13" ht="15.75" customHeight="1" x14ac:dyDescent="0.2">
      <c r="A9" s="6"/>
      <c r="B9" s="146"/>
      <c r="C9" s="123"/>
      <c r="D9" s="123"/>
      <c r="E9" s="123"/>
      <c r="F9" s="123"/>
      <c r="G9" s="123"/>
      <c r="H9" s="123"/>
      <c r="I9" s="123"/>
      <c r="J9" s="123"/>
      <c r="K9" s="123"/>
      <c r="L9" s="129"/>
      <c r="M9" s="6"/>
    </row>
    <row r="10" spans="1:13" ht="18.75" customHeight="1" x14ac:dyDescent="0.2">
      <c r="A10" s="6"/>
      <c r="B10" s="145" t="s">
        <v>9</v>
      </c>
      <c r="C10" s="128" t="s">
        <v>10</v>
      </c>
      <c r="D10" s="123"/>
      <c r="E10" s="123"/>
      <c r="F10" s="123"/>
      <c r="G10" s="123"/>
      <c r="H10" s="123"/>
      <c r="I10" s="123"/>
      <c r="J10" s="123"/>
      <c r="K10" s="123"/>
      <c r="L10" s="129"/>
      <c r="M10" s="6"/>
    </row>
    <row r="11" spans="1:13" ht="20.25" customHeight="1" x14ac:dyDescent="0.2">
      <c r="A11" s="6"/>
      <c r="B11" s="146"/>
      <c r="C11" s="123"/>
      <c r="D11" s="123"/>
      <c r="E11" s="123"/>
      <c r="F11" s="123"/>
      <c r="G11" s="123"/>
      <c r="H11" s="123"/>
      <c r="I11" s="123"/>
      <c r="J11" s="123"/>
      <c r="K11" s="123"/>
      <c r="L11" s="129"/>
      <c r="M11" s="6"/>
    </row>
    <row r="12" spans="1:13" ht="18.75" customHeight="1" x14ac:dyDescent="0.2">
      <c r="A12" s="6"/>
      <c r="B12" s="145" t="s">
        <v>11</v>
      </c>
      <c r="C12" s="128" t="s">
        <v>12</v>
      </c>
      <c r="D12" s="123"/>
      <c r="E12" s="123"/>
      <c r="F12" s="123"/>
      <c r="G12" s="123"/>
      <c r="H12" s="123"/>
      <c r="I12" s="123"/>
      <c r="J12" s="123"/>
      <c r="K12" s="123"/>
      <c r="L12" s="129"/>
      <c r="M12" s="6"/>
    </row>
    <row r="13" spans="1:13" ht="18.75" customHeight="1" x14ac:dyDescent="0.2">
      <c r="A13" s="6"/>
      <c r="B13" s="146"/>
      <c r="C13" s="123"/>
      <c r="D13" s="123"/>
      <c r="E13" s="123"/>
      <c r="F13" s="123"/>
      <c r="G13" s="123"/>
      <c r="H13" s="123"/>
      <c r="I13" s="123"/>
      <c r="J13" s="123"/>
      <c r="K13" s="123"/>
      <c r="L13" s="129"/>
      <c r="M13" s="6"/>
    </row>
    <row r="14" spans="1:13" ht="18.75" customHeight="1" x14ac:dyDescent="0.2">
      <c r="A14" s="6"/>
      <c r="B14" s="145" t="s">
        <v>13</v>
      </c>
      <c r="C14" s="128" t="s">
        <v>14</v>
      </c>
      <c r="D14" s="123"/>
      <c r="E14" s="123"/>
      <c r="F14" s="123"/>
      <c r="G14" s="123"/>
      <c r="H14" s="123"/>
      <c r="I14" s="123"/>
      <c r="J14" s="123"/>
      <c r="K14" s="123"/>
      <c r="L14" s="129"/>
      <c r="M14" s="6"/>
    </row>
    <row r="15" spans="1:13" ht="18.75" customHeight="1" x14ac:dyDescent="0.2">
      <c r="A15" s="6"/>
      <c r="B15" s="146"/>
      <c r="C15" s="123"/>
      <c r="D15" s="123"/>
      <c r="E15" s="123"/>
      <c r="F15" s="123"/>
      <c r="G15" s="123"/>
      <c r="H15" s="123"/>
      <c r="I15" s="123"/>
      <c r="J15" s="123"/>
      <c r="K15" s="123"/>
      <c r="L15" s="129"/>
      <c r="M15" s="6"/>
    </row>
    <row r="16" spans="1:13" ht="25.5" customHeight="1" x14ac:dyDescent="0.2">
      <c r="A16" s="6"/>
      <c r="B16" s="145" t="s">
        <v>15</v>
      </c>
      <c r="C16" s="128" t="s">
        <v>16</v>
      </c>
      <c r="D16" s="123"/>
      <c r="E16" s="123"/>
      <c r="F16" s="123"/>
      <c r="G16" s="123"/>
      <c r="H16" s="123"/>
      <c r="I16" s="123"/>
      <c r="J16" s="123"/>
      <c r="K16" s="123"/>
      <c r="L16" s="129"/>
      <c r="M16" s="6"/>
    </row>
    <row r="17" spans="1:13" ht="23.25" customHeight="1" x14ac:dyDescent="0.2">
      <c r="A17" s="6"/>
      <c r="B17" s="147"/>
      <c r="C17" s="130"/>
      <c r="D17" s="130"/>
      <c r="E17" s="130"/>
      <c r="F17" s="130"/>
      <c r="G17" s="130"/>
      <c r="H17" s="130"/>
      <c r="I17" s="130"/>
      <c r="J17" s="130"/>
      <c r="K17" s="130"/>
      <c r="L17" s="131"/>
      <c r="M17" s="6"/>
    </row>
    <row r="18" spans="1:13" ht="15.75" customHeight="1" x14ac:dyDescent="0.2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9"/>
    </row>
    <row r="19" spans="1:13" ht="15.75" customHeight="1" x14ac:dyDescent="0.2">
      <c r="A19" s="7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9"/>
    </row>
    <row r="21" spans="1:13" ht="15.75" customHeight="1" x14ac:dyDescent="0.2"/>
    <row r="22" spans="1:13" ht="15.75" customHeight="1" x14ac:dyDescent="0.2"/>
    <row r="23" spans="1:13" ht="15.75" customHeight="1" x14ac:dyDescent="0.2"/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6">
    <mergeCell ref="C10:L11"/>
    <mergeCell ref="C12:L13"/>
    <mergeCell ref="C14:L15"/>
    <mergeCell ref="C16:L17"/>
    <mergeCell ref="B1:L1"/>
    <mergeCell ref="B2:L2"/>
    <mergeCell ref="B3:L4"/>
    <mergeCell ref="C5:L5"/>
    <mergeCell ref="B6:B7"/>
    <mergeCell ref="C6:L7"/>
    <mergeCell ref="C8:L9"/>
    <mergeCell ref="B8:B9"/>
    <mergeCell ref="B10:B11"/>
    <mergeCell ref="B12:B13"/>
    <mergeCell ref="B14:B15"/>
    <mergeCell ref="B16:B17"/>
  </mergeCells>
  <hyperlinks>
    <hyperlink ref="B2" r:id="rId1" xr:uid="{00000000-0004-0000-0000-000000000000}"/>
  </hyperlink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EBC0A"/>
    <outlinePr summaryBelow="0" summaryRight="0"/>
  </sheetPr>
  <dimension ref="A1:M1000"/>
  <sheetViews>
    <sheetView workbookViewId="0">
      <selection sqref="A1:A4"/>
    </sheetView>
  </sheetViews>
  <sheetFormatPr defaultColWidth="12.5703125" defaultRowHeight="15" customHeight="1" x14ac:dyDescent="0.2"/>
  <cols>
    <col min="1" max="1" width="33.42578125" customWidth="1"/>
    <col min="2" max="2" width="20.7109375" customWidth="1"/>
    <col min="3" max="3" width="17.85546875" customWidth="1"/>
    <col min="4" max="6" width="14.42578125" customWidth="1"/>
    <col min="7" max="7" width="17.7109375" customWidth="1"/>
    <col min="8" max="13" width="14.42578125" customWidth="1"/>
  </cols>
  <sheetData>
    <row r="1" spans="1:13" ht="15.75" customHeight="1" x14ac:dyDescent="0.2">
      <c r="A1" s="148"/>
      <c r="B1" s="149" t="s">
        <v>17</v>
      </c>
      <c r="C1" s="123"/>
      <c r="D1" s="150" t="s">
        <v>18</v>
      </c>
      <c r="E1" s="123"/>
      <c r="F1" s="123"/>
      <c r="G1" s="123"/>
      <c r="H1" s="123"/>
      <c r="I1" s="12"/>
      <c r="J1" s="13"/>
      <c r="K1" s="13"/>
      <c r="L1" s="13"/>
      <c r="M1" s="13"/>
    </row>
    <row r="2" spans="1:13" ht="15.75" customHeight="1" x14ac:dyDescent="0.2">
      <c r="A2" s="123"/>
      <c r="B2" s="149" t="s">
        <v>19</v>
      </c>
      <c r="C2" s="123"/>
      <c r="D2" s="126" t="s">
        <v>20</v>
      </c>
      <c r="E2" s="123"/>
      <c r="F2" s="123"/>
      <c r="G2" s="14" t="s">
        <v>21</v>
      </c>
      <c r="H2" s="11">
        <v>2024</v>
      </c>
      <c r="I2" s="15"/>
      <c r="J2" s="16"/>
      <c r="K2" s="16"/>
      <c r="L2" s="16"/>
      <c r="M2" s="16"/>
    </row>
    <row r="3" spans="1:13" ht="15.75" customHeight="1" x14ac:dyDescent="0.2">
      <c r="A3" s="123"/>
      <c r="B3" s="149"/>
      <c r="C3" s="123"/>
      <c r="D3" s="151"/>
      <c r="E3" s="123"/>
      <c r="F3" s="14"/>
      <c r="G3" s="151"/>
      <c r="H3" s="123"/>
      <c r="I3" s="15"/>
      <c r="J3" s="16"/>
      <c r="K3" s="16"/>
      <c r="L3" s="16"/>
      <c r="M3" s="16"/>
    </row>
    <row r="4" spans="1:13" ht="15.75" customHeight="1" x14ac:dyDescent="0.2">
      <c r="A4" s="123"/>
      <c r="B4" s="17"/>
      <c r="C4" s="18"/>
      <c r="D4" s="18"/>
      <c r="E4" s="18"/>
      <c r="F4" s="18"/>
      <c r="G4" s="18"/>
      <c r="H4" s="18"/>
      <c r="I4" s="19"/>
      <c r="J4" s="19"/>
      <c r="K4" s="19"/>
      <c r="L4" s="19"/>
      <c r="M4" s="19"/>
    </row>
    <row r="5" spans="1:13" ht="15.75" customHeight="1" x14ac:dyDescent="0.2">
      <c r="A5" s="20" t="s">
        <v>22</v>
      </c>
      <c r="B5" s="21" t="str">
        <f>CONCATENATE("Janeiro/",$H$2)</f>
        <v>Janeiro/2024</v>
      </c>
      <c r="C5" s="21" t="str">
        <f>CONCATENATE("Fevereiro/",$H$2)</f>
        <v>Fevereiro/2024</v>
      </c>
      <c r="D5" s="21" t="str">
        <f>CONCATENATE("Março/",$H$2)</f>
        <v>Março/2024</v>
      </c>
      <c r="E5" s="21" t="str">
        <f>CONCATENATE("Abril/",$H$2)</f>
        <v>Abril/2024</v>
      </c>
      <c r="F5" s="21" t="str">
        <f>CONCATENATE("Maio/",$H$2)</f>
        <v>Maio/2024</v>
      </c>
      <c r="G5" s="21" t="str">
        <f>CONCATENATE("Junho/",$H$2)</f>
        <v>Junho/2024</v>
      </c>
      <c r="H5" s="21" t="str">
        <f>CONCATENATE("Julho/",$H$2)</f>
        <v>Julho/2024</v>
      </c>
      <c r="I5" s="21" t="str">
        <f>CONCATENATE("Agosto/",$H$2)</f>
        <v>Agosto/2024</v>
      </c>
      <c r="J5" s="21" t="str">
        <f>CONCATENATE("Setembro/",$H$2)</f>
        <v>Setembro/2024</v>
      </c>
      <c r="K5" s="21" t="str">
        <f>CONCATENATE("Outubro/",$H$2)</f>
        <v>Outubro/2024</v>
      </c>
      <c r="L5" s="21" t="str">
        <f>CONCATENATE("Novembro/",$H$2)</f>
        <v>Novembro/2024</v>
      </c>
      <c r="M5" s="21" t="str">
        <f>CONCATENATE("Dezembro/",$H$2)</f>
        <v>Dezembro/2024</v>
      </c>
    </row>
    <row r="6" spans="1:13" ht="15.75" customHeight="1" x14ac:dyDescent="0.2">
      <c r="A6" s="22" t="s">
        <v>23</v>
      </c>
      <c r="B6" s="23">
        <v>0</v>
      </c>
      <c r="C6" s="23">
        <f t="shared" ref="C6:D6" si="0">B6+B31</f>
        <v>0</v>
      </c>
      <c r="D6" s="23">
        <f t="shared" si="0"/>
        <v>393.46</v>
      </c>
      <c r="E6" s="23">
        <f t="shared" ref="E6:F6" si="1">D31</f>
        <v>301.13000000000005</v>
      </c>
      <c r="F6" s="23">
        <f t="shared" si="1"/>
        <v>637.75000000000011</v>
      </c>
      <c r="G6" s="24">
        <f>F31+G8-G16</f>
        <v>1530.22</v>
      </c>
      <c r="H6" s="23">
        <f>H8-H16+G31</f>
        <v>2030.22</v>
      </c>
      <c r="I6" s="23">
        <f t="shared" ref="I6:K6" si="2">I8+H31-I16</f>
        <v>2460.2700000000004</v>
      </c>
      <c r="J6" s="23">
        <f t="shared" si="2"/>
        <v>2832.6000000000004</v>
      </c>
      <c r="K6" s="23">
        <f t="shared" si="2"/>
        <v>3177.3</v>
      </c>
      <c r="L6" s="23">
        <f t="shared" ref="L6:M6" si="3">K31+L8-L16-L21</f>
        <v>3363.27</v>
      </c>
      <c r="M6" s="23">
        <f t="shared" si="3"/>
        <v>3817.17</v>
      </c>
    </row>
    <row r="7" spans="1:13" ht="15.75" customHeight="1" x14ac:dyDescent="0.2">
      <c r="A7" s="17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6"/>
    </row>
    <row r="8" spans="1:13" ht="15.75" customHeight="1" x14ac:dyDescent="0.2">
      <c r="A8" s="27" t="s">
        <v>24</v>
      </c>
      <c r="B8" s="28">
        <f>SUM(B9:B11)</f>
        <v>0</v>
      </c>
      <c r="C8" s="28">
        <f t="shared" ref="C8:E8" si="4">C9</f>
        <v>600</v>
      </c>
      <c r="D8" s="28">
        <f t="shared" si="4"/>
        <v>600</v>
      </c>
      <c r="E8" s="28">
        <f t="shared" si="4"/>
        <v>600</v>
      </c>
      <c r="F8" s="28">
        <f t="shared" ref="F8:M8" si="5">SUM(F9:F11)</f>
        <v>600</v>
      </c>
      <c r="G8" s="28">
        <f t="shared" si="5"/>
        <v>600</v>
      </c>
      <c r="H8" s="28">
        <f t="shared" si="5"/>
        <v>600</v>
      </c>
      <c r="I8" s="28">
        <f t="shared" si="5"/>
        <v>600</v>
      </c>
      <c r="J8" s="28">
        <f t="shared" si="5"/>
        <v>600</v>
      </c>
      <c r="K8" s="28">
        <f t="shared" si="5"/>
        <v>600</v>
      </c>
      <c r="L8" s="28">
        <f t="shared" si="5"/>
        <v>600</v>
      </c>
      <c r="M8" s="28">
        <f t="shared" si="5"/>
        <v>600</v>
      </c>
    </row>
    <row r="9" spans="1:13" ht="15.75" customHeight="1" x14ac:dyDescent="0.25">
      <c r="A9" s="29" t="s">
        <v>25</v>
      </c>
      <c r="B9" s="30">
        <v>0</v>
      </c>
      <c r="C9" s="31">
        <v>600</v>
      </c>
      <c r="D9" s="31">
        <v>600</v>
      </c>
      <c r="E9" s="31">
        <f>TaxaCondominio!E10</f>
        <v>600</v>
      </c>
      <c r="F9" s="31">
        <f>TaxaCondominio!F10</f>
        <v>600</v>
      </c>
      <c r="G9" s="31">
        <f>TaxaCondominio!G10</f>
        <v>600</v>
      </c>
      <c r="H9" s="31">
        <f>TaxaCondominio!H10</f>
        <v>600</v>
      </c>
      <c r="I9" s="31">
        <f>TaxaCondominio!I10</f>
        <v>600</v>
      </c>
      <c r="J9" s="31">
        <f>TaxaCondominio!J10</f>
        <v>600</v>
      </c>
      <c r="K9" s="31">
        <f>TaxaCondominio!K10</f>
        <v>600</v>
      </c>
      <c r="L9" s="31">
        <f>TaxaCondominio!L10</f>
        <v>600</v>
      </c>
      <c r="M9" s="31">
        <f>TaxaCondominio!M10</f>
        <v>600</v>
      </c>
    </row>
    <row r="10" spans="1:13" ht="15.75" customHeight="1" x14ac:dyDescent="0.2">
      <c r="A10" s="29" t="s">
        <v>26</v>
      </c>
      <c r="B10" s="32">
        <v>0</v>
      </c>
      <c r="C10" s="33"/>
      <c r="D10" s="33"/>
      <c r="E10" s="33"/>
      <c r="F10" s="33"/>
      <c r="G10" s="33"/>
      <c r="H10" s="33"/>
      <c r="I10" s="34"/>
      <c r="J10" s="33"/>
      <c r="K10" s="33"/>
      <c r="L10" s="33"/>
      <c r="M10" s="33"/>
    </row>
    <row r="11" spans="1:13" ht="15.75" customHeight="1" x14ac:dyDescent="0.2">
      <c r="A11" s="17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6"/>
    </row>
    <row r="12" spans="1:13" ht="15.75" customHeight="1" x14ac:dyDescent="0.2">
      <c r="A12" s="17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6"/>
    </row>
    <row r="13" spans="1:13" ht="15.75" customHeight="1" x14ac:dyDescent="0.2">
      <c r="A13" s="35" t="s">
        <v>27</v>
      </c>
      <c r="B13" s="36">
        <f>SUM(B14:B15)</f>
        <v>0</v>
      </c>
      <c r="C13" s="36">
        <f>C14</f>
        <v>0</v>
      </c>
      <c r="D13" s="36">
        <f t="shared" ref="D13:M13" si="6">SUM(D14:D15)</f>
        <v>0</v>
      </c>
      <c r="E13" s="36">
        <f t="shared" si="6"/>
        <v>0</v>
      </c>
      <c r="F13" s="36">
        <f t="shared" si="6"/>
        <v>0</v>
      </c>
      <c r="G13" s="36">
        <f t="shared" si="6"/>
        <v>0</v>
      </c>
      <c r="H13" s="36">
        <f t="shared" si="6"/>
        <v>0</v>
      </c>
      <c r="I13" s="36">
        <f t="shared" si="6"/>
        <v>0</v>
      </c>
      <c r="J13" s="36">
        <f t="shared" si="6"/>
        <v>0</v>
      </c>
      <c r="K13" s="36">
        <f t="shared" si="6"/>
        <v>0</v>
      </c>
      <c r="L13" s="36">
        <f t="shared" si="6"/>
        <v>0</v>
      </c>
      <c r="M13" s="36">
        <f t="shared" si="6"/>
        <v>0</v>
      </c>
    </row>
    <row r="14" spans="1:13" ht="15.75" customHeight="1" x14ac:dyDescent="0.2">
      <c r="A14" s="29" t="s">
        <v>28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</row>
    <row r="15" spans="1:13" ht="15.75" customHeight="1" x14ac:dyDescent="0.2">
      <c r="A15" s="17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6"/>
    </row>
    <row r="16" spans="1:13" ht="15.75" customHeight="1" x14ac:dyDescent="0.2">
      <c r="A16" s="35" t="s">
        <v>29</v>
      </c>
      <c r="B16" s="36">
        <f t="shared" ref="B16:C16" si="7">B17+B18+B19</f>
        <v>0</v>
      </c>
      <c r="C16" s="36">
        <f t="shared" si="7"/>
        <v>126.72</v>
      </c>
      <c r="D16" s="36">
        <f t="shared" ref="D16:M16" si="8">SUM(D17:D20)</f>
        <v>335.63</v>
      </c>
      <c r="E16" s="36">
        <f t="shared" si="8"/>
        <v>263.38</v>
      </c>
      <c r="F16" s="36">
        <f t="shared" si="8"/>
        <v>100</v>
      </c>
      <c r="G16" s="36">
        <f t="shared" si="8"/>
        <v>207.53</v>
      </c>
      <c r="H16" s="36">
        <f t="shared" si="8"/>
        <v>100</v>
      </c>
      <c r="I16" s="36">
        <f t="shared" si="8"/>
        <v>169.95</v>
      </c>
      <c r="J16" s="36">
        <f t="shared" si="8"/>
        <v>227.67</v>
      </c>
      <c r="K16" s="36">
        <f t="shared" si="8"/>
        <v>131.45999999999998</v>
      </c>
      <c r="L16" s="36">
        <f t="shared" si="8"/>
        <v>240.23</v>
      </c>
      <c r="M16" s="36">
        <f t="shared" si="8"/>
        <v>135.6</v>
      </c>
    </row>
    <row r="17" spans="1:13" ht="15.75" customHeight="1" x14ac:dyDescent="0.2">
      <c r="A17" s="29" t="s">
        <v>30</v>
      </c>
      <c r="B17" s="37">
        <v>0</v>
      </c>
      <c r="C17" s="37">
        <v>72.05</v>
      </c>
      <c r="D17" s="38">
        <v>235.63</v>
      </c>
      <c r="E17" s="38">
        <v>61.59</v>
      </c>
      <c r="F17" s="38"/>
      <c r="G17" s="38"/>
      <c r="H17" s="38"/>
      <c r="I17" s="38">
        <v>76.62</v>
      </c>
      <c r="J17" s="38">
        <v>76.3</v>
      </c>
      <c r="K17" s="38">
        <v>76.3</v>
      </c>
      <c r="L17" s="38">
        <v>76.3</v>
      </c>
      <c r="M17" s="38">
        <v>76.3</v>
      </c>
    </row>
    <row r="18" spans="1:13" ht="15.75" customHeight="1" x14ac:dyDescent="0.2">
      <c r="A18" s="29" t="s">
        <v>31</v>
      </c>
      <c r="B18" s="37">
        <v>0</v>
      </c>
      <c r="C18" s="37">
        <v>54.67</v>
      </c>
      <c r="D18" s="38">
        <v>0</v>
      </c>
      <c r="E18" s="38">
        <v>101.79</v>
      </c>
      <c r="F18" s="38">
        <v>0</v>
      </c>
      <c r="G18" s="38">
        <v>107.53</v>
      </c>
      <c r="H18" s="38">
        <v>0</v>
      </c>
      <c r="I18" s="38">
        <v>93.33</v>
      </c>
      <c r="J18" s="38">
        <v>51.37</v>
      </c>
      <c r="K18" s="38">
        <v>55.16</v>
      </c>
      <c r="L18" s="38">
        <v>63.93</v>
      </c>
      <c r="M18" s="38">
        <v>59.3</v>
      </c>
    </row>
    <row r="19" spans="1:13" ht="15.75" customHeight="1" x14ac:dyDescent="0.2">
      <c r="A19" s="29" t="s">
        <v>32</v>
      </c>
      <c r="B19" s="38">
        <v>0</v>
      </c>
      <c r="C19" s="38">
        <v>0</v>
      </c>
      <c r="D19" s="38">
        <v>100</v>
      </c>
      <c r="E19" s="38">
        <v>100</v>
      </c>
      <c r="F19" s="38">
        <v>100</v>
      </c>
      <c r="G19" s="38">
        <v>100</v>
      </c>
      <c r="H19" s="38">
        <v>100</v>
      </c>
      <c r="I19" s="38"/>
      <c r="J19" s="38">
        <v>100</v>
      </c>
      <c r="K19" s="38"/>
      <c r="L19" s="38">
        <v>100</v>
      </c>
      <c r="M19" s="38"/>
    </row>
    <row r="20" spans="1:13" ht="15.75" customHeight="1" x14ac:dyDescent="0.2">
      <c r="A20" s="17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6"/>
    </row>
    <row r="21" spans="1:13" ht="15.75" customHeight="1" x14ac:dyDescent="0.2">
      <c r="A21" s="35" t="s">
        <v>33</v>
      </c>
      <c r="B21" s="36">
        <f>B22+B23+B24</f>
        <v>0</v>
      </c>
      <c r="C21" s="36">
        <f t="shared" ref="C21:M21" si="9">SUM(C22:C25)</f>
        <v>79.819999999999993</v>
      </c>
      <c r="D21" s="36">
        <f t="shared" si="9"/>
        <v>356.7</v>
      </c>
      <c r="E21" s="36">
        <f t="shared" si="9"/>
        <v>0</v>
      </c>
      <c r="F21" s="36">
        <f t="shared" si="9"/>
        <v>0</v>
      </c>
      <c r="G21" s="36">
        <f t="shared" si="9"/>
        <v>0</v>
      </c>
      <c r="H21" s="36">
        <f t="shared" si="9"/>
        <v>0</v>
      </c>
      <c r="I21" s="36">
        <f t="shared" si="9"/>
        <v>0</v>
      </c>
      <c r="J21" s="36">
        <f t="shared" si="9"/>
        <v>123.84</v>
      </c>
      <c r="K21" s="36">
        <f t="shared" si="9"/>
        <v>0</v>
      </c>
      <c r="L21" s="36">
        <f t="shared" si="9"/>
        <v>173.8</v>
      </c>
      <c r="M21" s="36">
        <f t="shared" si="9"/>
        <v>10.5</v>
      </c>
    </row>
    <row r="22" spans="1:13" ht="15.75" customHeight="1" x14ac:dyDescent="0.2">
      <c r="A22" s="29" t="s">
        <v>34</v>
      </c>
      <c r="B22" s="37">
        <v>0</v>
      </c>
      <c r="C22" s="33">
        <v>0</v>
      </c>
      <c r="D22" s="33">
        <v>180</v>
      </c>
      <c r="E22" s="33"/>
      <c r="F22" s="33"/>
      <c r="G22" s="33"/>
      <c r="H22" s="33"/>
      <c r="I22" s="33"/>
      <c r="J22" s="33"/>
      <c r="K22" s="33"/>
      <c r="L22" s="33"/>
      <c r="M22" s="33"/>
    </row>
    <row r="23" spans="1:13" ht="15.75" customHeight="1" x14ac:dyDescent="0.2">
      <c r="A23" s="29" t="s">
        <v>35</v>
      </c>
      <c r="B23" s="37">
        <v>0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</row>
    <row r="24" spans="1:13" ht="15.75" customHeight="1" x14ac:dyDescent="0.2">
      <c r="A24" s="29" t="s">
        <v>28</v>
      </c>
      <c r="B24" s="37">
        <v>0</v>
      </c>
      <c r="C24" s="33">
        <v>79.819999999999993</v>
      </c>
      <c r="D24" s="39">
        <v>176.7</v>
      </c>
      <c r="E24" s="33"/>
      <c r="F24" s="33"/>
      <c r="G24" s="33"/>
      <c r="H24" s="33"/>
      <c r="I24" s="33"/>
      <c r="J24" s="33">
        <v>123.84</v>
      </c>
      <c r="K24" s="33"/>
      <c r="L24" s="33">
        <v>173.8</v>
      </c>
      <c r="M24" s="33">
        <v>10.5</v>
      </c>
    </row>
    <row r="25" spans="1:13" ht="15.75" customHeight="1" x14ac:dyDescent="0.2">
      <c r="A25" s="17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6"/>
    </row>
    <row r="26" spans="1:13" ht="15.75" customHeight="1" x14ac:dyDescent="0.2">
      <c r="A26" s="40" t="s">
        <v>36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</row>
    <row r="27" spans="1:13" ht="15.75" customHeight="1" x14ac:dyDescent="0.2">
      <c r="A27" s="29" t="s">
        <v>37</v>
      </c>
      <c r="B27" s="37">
        <f t="shared" ref="B27:C27" si="10">B8</f>
        <v>0</v>
      </c>
      <c r="C27" s="37">
        <f t="shared" si="10"/>
        <v>600</v>
      </c>
      <c r="D27" s="37">
        <f>D8+D6</f>
        <v>993.46</v>
      </c>
      <c r="E27" s="37">
        <f t="shared" ref="E27:I27" si="11">E8+D31</f>
        <v>901.13000000000011</v>
      </c>
      <c r="F27" s="37">
        <f t="shared" si="11"/>
        <v>1237.75</v>
      </c>
      <c r="G27" s="37">
        <f t="shared" si="11"/>
        <v>1737.75</v>
      </c>
      <c r="H27" s="37">
        <f t="shared" si="11"/>
        <v>2130.2200000000003</v>
      </c>
      <c r="I27" s="37">
        <f t="shared" si="11"/>
        <v>2630.2200000000003</v>
      </c>
      <c r="J27" s="37">
        <f t="shared" ref="J27:L27" si="12">I31+J8</f>
        <v>3060.2700000000004</v>
      </c>
      <c r="K27" s="37">
        <f t="shared" si="12"/>
        <v>3308.76</v>
      </c>
      <c r="L27" s="37">
        <f t="shared" si="12"/>
        <v>3777.3</v>
      </c>
      <c r="M27" s="37">
        <f>L31+M9</f>
        <v>3963.27</v>
      </c>
    </row>
    <row r="28" spans="1:13" ht="15.75" customHeight="1" x14ac:dyDescent="0.2">
      <c r="A28" s="29" t="s">
        <v>38</v>
      </c>
      <c r="B28" s="37">
        <f>B13</f>
        <v>0</v>
      </c>
      <c r="C28" s="37">
        <f t="shared" ref="C28:E28" si="13">C10</f>
        <v>0</v>
      </c>
      <c r="D28" s="37">
        <f t="shared" si="13"/>
        <v>0</v>
      </c>
      <c r="E28" s="37">
        <f t="shared" si="13"/>
        <v>0</v>
      </c>
      <c r="F28" s="37">
        <f t="shared" ref="F28:I28" si="14">F13</f>
        <v>0</v>
      </c>
      <c r="G28" s="37">
        <f t="shared" si="14"/>
        <v>0</v>
      </c>
      <c r="H28" s="37">
        <f t="shared" si="14"/>
        <v>0</v>
      </c>
      <c r="I28" s="37">
        <f t="shared" si="14"/>
        <v>0</v>
      </c>
      <c r="J28" s="37">
        <f t="shared" ref="J28:K28" si="15">J10</f>
        <v>0</v>
      </c>
      <c r="K28" s="37">
        <f t="shared" si="15"/>
        <v>0</v>
      </c>
      <c r="L28" s="37">
        <v>0</v>
      </c>
      <c r="M28" s="37">
        <f>M10</f>
        <v>0</v>
      </c>
    </row>
    <row r="29" spans="1:13" ht="15.75" customHeight="1" x14ac:dyDescent="0.2">
      <c r="A29" s="29" t="s">
        <v>39</v>
      </c>
      <c r="B29" s="37">
        <f t="shared" ref="B29:M29" si="16">B16</f>
        <v>0</v>
      </c>
      <c r="C29" s="37">
        <f t="shared" si="16"/>
        <v>126.72</v>
      </c>
      <c r="D29" s="37">
        <f t="shared" si="16"/>
        <v>335.63</v>
      </c>
      <c r="E29" s="37">
        <f t="shared" si="16"/>
        <v>263.38</v>
      </c>
      <c r="F29" s="37">
        <f t="shared" si="16"/>
        <v>100</v>
      </c>
      <c r="G29" s="37">
        <f t="shared" si="16"/>
        <v>207.53</v>
      </c>
      <c r="H29" s="37">
        <f t="shared" si="16"/>
        <v>100</v>
      </c>
      <c r="I29" s="37">
        <f t="shared" si="16"/>
        <v>169.95</v>
      </c>
      <c r="J29" s="37">
        <f t="shared" si="16"/>
        <v>227.67</v>
      </c>
      <c r="K29" s="37">
        <f t="shared" si="16"/>
        <v>131.45999999999998</v>
      </c>
      <c r="L29" s="37">
        <f t="shared" si="16"/>
        <v>240.23</v>
      </c>
      <c r="M29" s="37">
        <f t="shared" si="16"/>
        <v>135.6</v>
      </c>
    </row>
    <row r="30" spans="1:13" ht="15.75" customHeight="1" x14ac:dyDescent="0.2">
      <c r="A30" s="29" t="s">
        <v>40</v>
      </c>
      <c r="B30" s="37">
        <f t="shared" ref="B30:M30" si="17">B21</f>
        <v>0</v>
      </c>
      <c r="C30" s="37">
        <f t="shared" si="17"/>
        <v>79.819999999999993</v>
      </c>
      <c r="D30" s="37">
        <f t="shared" si="17"/>
        <v>356.7</v>
      </c>
      <c r="E30" s="37">
        <f t="shared" si="17"/>
        <v>0</v>
      </c>
      <c r="F30" s="37">
        <f t="shared" si="17"/>
        <v>0</v>
      </c>
      <c r="G30" s="37">
        <f t="shared" si="17"/>
        <v>0</v>
      </c>
      <c r="H30" s="37">
        <f t="shared" si="17"/>
        <v>0</v>
      </c>
      <c r="I30" s="37">
        <f t="shared" si="17"/>
        <v>0</v>
      </c>
      <c r="J30" s="37">
        <f t="shared" si="17"/>
        <v>123.84</v>
      </c>
      <c r="K30" s="37">
        <f t="shared" si="17"/>
        <v>0</v>
      </c>
      <c r="L30" s="37">
        <f t="shared" si="17"/>
        <v>173.8</v>
      </c>
      <c r="M30" s="37">
        <f t="shared" si="17"/>
        <v>10.5</v>
      </c>
    </row>
    <row r="31" spans="1:13" ht="15.75" customHeight="1" x14ac:dyDescent="0.2">
      <c r="A31" s="29" t="s">
        <v>41</v>
      </c>
      <c r="B31" s="42">
        <f t="shared" ref="B31:I31" si="18">B27+B28-B29-B30</f>
        <v>0</v>
      </c>
      <c r="C31" s="42">
        <f t="shared" si="18"/>
        <v>393.46</v>
      </c>
      <c r="D31" s="42">
        <f t="shared" si="18"/>
        <v>301.13000000000005</v>
      </c>
      <c r="E31" s="37">
        <f t="shared" si="18"/>
        <v>637.75000000000011</v>
      </c>
      <c r="F31" s="37">
        <f t="shared" si="18"/>
        <v>1137.75</v>
      </c>
      <c r="G31" s="37">
        <f t="shared" si="18"/>
        <v>1530.22</v>
      </c>
      <c r="H31" s="37">
        <f t="shared" si="18"/>
        <v>2030.2200000000003</v>
      </c>
      <c r="I31" s="37">
        <f t="shared" si="18"/>
        <v>2460.2700000000004</v>
      </c>
      <c r="J31" s="37">
        <f>J27-J29-J30</f>
        <v>2708.76</v>
      </c>
      <c r="K31" s="37">
        <f t="shared" ref="K31:M31" si="19">K27+K28-K29-K30</f>
        <v>3177.3</v>
      </c>
      <c r="L31" s="37">
        <f t="shared" si="19"/>
        <v>3363.27</v>
      </c>
      <c r="M31" s="37">
        <f t="shared" si="19"/>
        <v>3817.17</v>
      </c>
    </row>
    <row r="32" spans="1:13" ht="15.75" customHeight="1" x14ac:dyDescent="0.2">
      <c r="A32" s="17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6"/>
    </row>
    <row r="33" spans="1:13" ht="15.75" customHeight="1" x14ac:dyDescent="0.2">
      <c r="A33" s="17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6"/>
    </row>
    <row r="34" spans="1:13" ht="15.75" customHeight="1" x14ac:dyDescent="0.2"/>
    <row r="35" spans="1:13" ht="15.75" customHeight="1" x14ac:dyDescent="0.2"/>
    <row r="36" spans="1:13" ht="15.75" customHeight="1" x14ac:dyDescent="0.2"/>
    <row r="37" spans="1:13" ht="15.75" customHeight="1" x14ac:dyDescent="0.2"/>
    <row r="38" spans="1:13" ht="15.75" customHeight="1" x14ac:dyDescent="0.2"/>
    <row r="39" spans="1:13" ht="15.75" customHeight="1" x14ac:dyDescent="0.2"/>
    <row r="40" spans="1:13" ht="15.75" customHeight="1" x14ac:dyDescent="0.2"/>
    <row r="41" spans="1:13" ht="15.75" customHeight="1" x14ac:dyDescent="0.2"/>
    <row r="42" spans="1:13" ht="15.75" customHeight="1" x14ac:dyDescent="0.2"/>
    <row r="43" spans="1:13" ht="15.75" customHeight="1" x14ac:dyDescent="0.2"/>
    <row r="44" spans="1:13" ht="15.75" customHeight="1" x14ac:dyDescent="0.2"/>
    <row r="45" spans="1:13" ht="15.75" customHeight="1" x14ac:dyDescent="0.2"/>
    <row r="46" spans="1:13" ht="15.75" customHeight="1" x14ac:dyDescent="0.2"/>
    <row r="47" spans="1:13" ht="15.75" customHeight="1" x14ac:dyDescent="0.2"/>
    <row r="48" spans="1:1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8">
    <mergeCell ref="A1:A4"/>
    <mergeCell ref="B1:C1"/>
    <mergeCell ref="D1:H1"/>
    <mergeCell ref="B2:C2"/>
    <mergeCell ref="D2:F2"/>
    <mergeCell ref="B3:C3"/>
    <mergeCell ref="D3:E3"/>
    <mergeCell ref="G3:H3"/>
  </mergeCells>
  <hyperlinks>
    <hyperlink ref="D2" r:id="rId1" xr:uid="{00000000-0004-0000-0100-000000000000}"/>
  </hyperlinks>
  <pageMargins left="0.511811024" right="0.511811024" top="0.78740157499999996" bottom="0.78740157499999996" header="0" footer="0"/>
  <pageSetup paperSize="9" orientation="portrait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EBC0A"/>
  </sheetPr>
  <dimension ref="A1:P1002"/>
  <sheetViews>
    <sheetView topLeftCell="B1" workbookViewId="0">
      <selection activeCell="M6" sqref="M6"/>
    </sheetView>
  </sheetViews>
  <sheetFormatPr defaultColWidth="12.5703125" defaultRowHeight="15" customHeight="1" x14ac:dyDescent="0.2"/>
  <cols>
    <col min="1" max="1" width="26.7109375" customWidth="1"/>
    <col min="2" max="3" width="14.7109375" customWidth="1"/>
    <col min="4" max="4" width="13" customWidth="1"/>
    <col min="5" max="5" width="11.85546875" customWidth="1"/>
    <col min="6" max="6" width="12.140625" customWidth="1"/>
    <col min="7" max="7" width="12.7109375" customWidth="1"/>
    <col min="8" max="9" width="12.42578125" customWidth="1"/>
    <col min="10" max="13" width="14.7109375" customWidth="1"/>
    <col min="14" max="26" width="8.5703125" customWidth="1"/>
  </cols>
  <sheetData>
    <row r="1" spans="1:13" ht="12.75" customHeight="1" x14ac:dyDescent="0.2">
      <c r="A1" s="122"/>
      <c r="B1" s="124" t="s">
        <v>17</v>
      </c>
      <c r="C1" s="123"/>
      <c r="D1" s="125" t="s">
        <v>18</v>
      </c>
      <c r="E1" s="123"/>
      <c r="F1" s="123"/>
      <c r="G1" s="123"/>
      <c r="H1" s="123"/>
      <c r="I1" s="45"/>
      <c r="J1" s="46"/>
      <c r="K1" s="46"/>
      <c r="L1" s="46"/>
      <c r="M1" s="46"/>
    </row>
    <row r="2" spans="1:13" ht="12.75" customHeight="1" x14ac:dyDescent="0.2">
      <c r="A2" s="123"/>
      <c r="B2" s="124" t="s">
        <v>19</v>
      </c>
      <c r="C2" s="123"/>
      <c r="D2" s="126" t="s">
        <v>20</v>
      </c>
      <c r="E2" s="123"/>
      <c r="F2" s="123"/>
      <c r="G2" s="47" t="s">
        <v>21</v>
      </c>
      <c r="H2" s="44">
        <v>2025</v>
      </c>
      <c r="I2" s="48"/>
      <c r="J2" s="49"/>
      <c r="K2" s="49"/>
      <c r="L2" s="49"/>
      <c r="M2" s="49"/>
    </row>
    <row r="3" spans="1:13" ht="12.75" customHeight="1" x14ac:dyDescent="0.2">
      <c r="A3" s="123"/>
      <c r="B3" s="124"/>
      <c r="C3" s="123"/>
      <c r="D3" s="127"/>
      <c r="E3" s="123"/>
      <c r="F3" s="47"/>
      <c r="G3" s="127"/>
      <c r="H3" s="123"/>
      <c r="I3" s="48"/>
      <c r="J3" s="49"/>
      <c r="K3" s="49"/>
      <c r="L3" s="49"/>
      <c r="M3" s="49"/>
    </row>
    <row r="4" spans="1:13" ht="12.75" customHeight="1" x14ac:dyDescent="0.2">
      <c r="A4" s="123"/>
      <c r="B4" s="51"/>
      <c r="C4" s="52"/>
      <c r="D4" s="52"/>
      <c r="E4" s="52"/>
      <c r="F4" s="52"/>
      <c r="G4" s="52"/>
      <c r="H4" s="52"/>
      <c r="I4" s="53"/>
      <c r="J4" s="53"/>
      <c r="K4" s="53"/>
      <c r="L4" s="53"/>
      <c r="M4" s="53"/>
    </row>
    <row r="5" spans="1:13" ht="12.75" customHeight="1" x14ac:dyDescent="0.2">
      <c r="A5" s="54" t="s">
        <v>22</v>
      </c>
      <c r="B5" s="55" t="str">
        <f>CONCATENATE("Janeiro/",$H$2)</f>
        <v>Janeiro/2025</v>
      </c>
      <c r="C5" s="55" t="str">
        <f>CONCATENATE("Fevereiro/",$H$2)</f>
        <v>Fevereiro/2025</v>
      </c>
      <c r="D5" s="55" t="str">
        <f>CONCATENATE("Março/",$H$2)</f>
        <v>Março/2025</v>
      </c>
      <c r="E5" s="55" t="str">
        <f>CONCATENATE("Abril/",$H$2)</f>
        <v>Abril/2025</v>
      </c>
      <c r="F5" s="55" t="str">
        <f>CONCATENATE("Maio/",$H$2)</f>
        <v>Maio/2025</v>
      </c>
      <c r="G5" s="55" t="str">
        <f>CONCATENATE("Junho/",$H$2)</f>
        <v>Junho/2025</v>
      </c>
      <c r="H5" s="55" t="str">
        <f>CONCATENATE("Julho/",$H$2)</f>
        <v>Julho/2025</v>
      </c>
      <c r="I5" s="55" t="str">
        <f>CONCATENATE("Agosto/",$H$2)</f>
        <v>Agosto/2025</v>
      </c>
      <c r="J5" s="55" t="str">
        <f>CONCATENATE("Setembro/",$H$2)</f>
        <v>Setembro/2025</v>
      </c>
      <c r="K5" s="55" t="str">
        <f>CONCATENATE("Outubro/",$H$2)</f>
        <v>Outubro/2025</v>
      </c>
      <c r="L5" s="55" t="str">
        <f>CONCATENATE("Novembro/",$H$2)</f>
        <v>Novembro/2025</v>
      </c>
      <c r="M5" s="55" t="str">
        <f>CONCATENATE("Dezembro/",$H$2)</f>
        <v>Dezembro/2025</v>
      </c>
    </row>
    <row r="6" spans="1:13" ht="12.75" customHeight="1" x14ac:dyDescent="0.2">
      <c r="A6" s="56" t="s">
        <v>23</v>
      </c>
      <c r="B6" s="57">
        <f>'Fluxo de caixa 2024'!M31+B8-B17-B22</f>
        <v>3783.1</v>
      </c>
      <c r="C6" s="57">
        <f>B33+C8+C29+-C30</f>
        <v>4048.9300000000003</v>
      </c>
      <c r="D6" s="57">
        <f t="shared" ref="D6:E6" si="0">C33+D8-D17</f>
        <v>4314.1100000000006</v>
      </c>
      <c r="E6" s="57">
        <f t="shared" si="0"/>
        <v>3680.7400000000007</v>
      </c>
      <c r="F6" s="57">
        <f t="shared" ref="F6:G6" si="1">E33+F8-F17-F22</f>
        <v>3196.8900000000008</v>
      </c>
      <c r="G6" s="57">
        <f t="shared" si="1"/>
        <v>3311.5100000000007</v>
      </c>
      <c r="H6" s="57">
        <f t="shared" ref="H6:M6" si="2">H33</f>
        <v>3425.2000000000007</v>
      </c>
      <c r="I6" s="57">
        <f t="shared" si="2"/>
        <v>3638.5300000000007</v>
      </c>
      <c r="J6" s="57">
        <f t="shared" si="2"/>
        <v>3473.87</v>
      </c>
      <c r="K6" s="57">
        <f t="shared" si="2"/>
        <v>3298.53</v>
      </c>
      <c r="L6" s="57">
        <f t="shared" si="2"/>
        <v>3440.07</v>
      </c>
      <c r="M6" s="57">
        <f t="shared" si="2"/>
        <v>3344</v>
      </c>
    </row>
    <row r="7" spans="1:13" ht="12.75" customHeight="1" x14ac:dyDescent="0.2">
      <c r="A7" s="51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9"/>
    </row>
    <row r="8" spans="1:13" ht="12.75" customHeight="1" x14ac:dyDescent="0.2">
      <c r="A8" s="60" t="s">
        <v>24</v>
      </c>
      <c r="B8" s="61">
        <f>SUM(B9:B11)</f>
        <v>600</v>
      </c>
      <c r="C8" s="61">
        <f>C9</f>
        <v>600</v>
      </c>
      <c r="D8" s="61">
        <f t="shared" ref="D8:E8" si="3">D9+D10</f>
        <v>600</v>
      </c>
      <c r="E8" s="61">
        <f t="shared" si="3"/>
        <v>600</v>
      </c>
      <c r="F8" s="61">
        <f t="shared" ref="F8:M8" si="4">SUM(F9:F11)</f>
        <v>600</v>
      </c>
      <c r="G8" s="61">
        <f t="shared" si="4"/>
        <v>600</v>
      </c>
      <c r="H8" s="61">
        <f t="shared" si="4"/>
        <v>600</v>
      </c>
      <c r="I8" s="61">
        <f t="shared" si="4"/>
        <v>600</v>
      </c>
      <c r="J8" s="61">
        <f t="shared" si="4"/>
        <v>1024.06</v>
      </c>
      <c r="K8" s="61">
        <f t="shared" si="4"/>
        <v>664.34</v>
      </c>
      <c r="L8" s="61">
        <f t="shared" si="4"/>
        <v>625.33000000000004</v>
      </c>
      <c r="M8" s="61">
        <f t="shared" si="4"/>
        <v>620.6</v>
      </c>
    </row>
    <row r="9" spans="1:13" ht="12.75" customHeight="1" x14ac:dyDescent="0.2">
      <c r="A9" s="62" t="s">
        <v>25</v>
      </c>
      <c r="B9" s="63">
        <f>TaxaCondominio!N10</f>
        <v>600</v>
      </c>
      <c r="C9" s="64">
        <f>TaxaCondominio!O10</f>
        <v>600</v>
      </c>
      <c r="D9" s="64">
        <f>TaxaCondominio!P10</f>
        <v>600</v>
      </c>
      <c r="E9" s="64">
        <f>TaxaCondominio!Q10</f>
        <v>600</v>
      </c>
      <c r="F9" s="64">
        <f>TaxaCondominio!R10</f>
        <v>600</v>
      </c>
      <c r="G9" s="64">
        <f>TaxaCondominio!S10</f>
        <v>600</v>
      </c>
      <c r="H9" s="64">
        <f>TaxaCondominio!T10</f>
        <v>600</v>
      </c>
      <c r="I9" s="64">
        <f>TaxaCondominio!U10</f>
        <v>600</v>
      </c>
      <c r="J9" s="64">
        <f>TaxaCondominio!V10</f>
        <v>600</v>
      </c>
      <c r="K9" s="64">
        <f>TaxaCondominio!W10</f>
        <v>600</v>
      </c>
      <c r="L9" s="64">
        <f>TaxaCondominio!X10</f>
        <v>600</v>
      </c>
      <c r="M9" s="64">
        <f>TaxaCondominio!Y10</f>
        <v>600</v>
      </c>
    </row>
    <row r="10" spans="1:13" ht="12.75" customHeight="1" x14ac:dyDescent="0.2">
      <c r="A10" s="62" t="s">
        <v>26</v>
      </c>
      <c r="B10" s="65"/>
      <c r="C10" s="65"/>
      <c r="D10" s="65"/>
      <c r="E10" s="65"/>
      <c r="F10" s="66"/>
      <c r="G10" s="66"/>
      <c r="H10" s="65"/>
      <c r="I10" s="65"/>
      <c r="J10" s="65">
        <v>424.06</v>
      </c>
      <c r="K10" s="65">
        <v>64.34</v>
      </c>
      <c r="L10" s="65">
        <v>25.33</v>
      </c>
      <c r="M10" s="65">
        <v>20.6</v>
      </c>
    </row>
    <row r="11" spans="1:13" ht="12.75" customHeight="1" x14ac:dyDescent="0.2">
      <c r="A11" s="51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9"/>
    </row>
    <row r="12" spans="1:13" ht="12.75" customHeight="1" x14ac:dyDescent="0.2">
      <c r="A12" s="51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9"/>
    </row>
    <row r="13" spans="1:13" ht="12.75" customHeight="1" x14ac:dyDescent="0.2">
      <c r="A13" s="67" t="s">
        <v>27</v>
      </c>
      <c r="B13" s="68">
        <f t="shared" ref="B13:M13" si="5">SUM(B14:B16)</f>
        <v>0</v>
      </c>
      <c r="C13" s="68">
        <f t="shared" si="5"/>
        <v>0</v>
      </c>
      <c r="D13" s="68">
        <f t="shared" si="5"/>
        <v>0</v>
      </c>
      <c r="E13" s="68">
        <f t="shared" si="5"/>
        <v>0</v>
      </c>
      <c r="F13" s="68">
        <f t="shared" si="5"/>
        <v>0</v>
      </c>
      <c r="G13" s="68">
        <f t="shared" si="5"/>
        <v>0</v>
      </c>
      <c r="H13" s="68">
        <f t="shared" si="5"/>
        <v>0</v>
      </c>
      <c r="I13" s="68">
        <f t="shared" si="5"/>
        <v>0</v>
      </c>
      <c r="J13" s="68">
        <f t="shared" si="5"/>
        <v>0</v>
      </c>
      <c r="K13" s="68">
        <f t="shared" si="5"/>
        <v>0</v>
      </c>
      <c r="L13" s="68">
        <f t="shared" si="5"/>
        <v>20.170000000000002</v>
      </c>
      <c r="M13" s="68">
        <f t="shared" si="5"/>
        <v>0</v>
      </c>
    </row>
    <row r="14" spans="1:13" ht="12.75" customHeight="1" x14ac:dyDescent="0.2">
      <c r="A14" s="62" t="s">
        <v>28</v>
      </c>
      <c r="B14" s="69">
        <v>0</v>
      </c>
      <c r="C14" s="69">
        <v>0</v>
      </c>
      <c r="D14" s="69">
        <v>0</v>
      </c>
      <c r="E14" s="69">
        <v>0</v>
      </c>
      <c r="F14" s="69">
        <v>0</v>
      </c>
      <c r="G14" s="69">
        <v>0</v>
      </c>
      <c r="H14" s="69">
        <v>0</v>
      </c>
      <c r="I14" s="69">
        <v>0</v>
      </c>
      <c r="J14" s="69">
        <v>0</v>
      </c>
      <c r="K14" s="69">
        <v>0</v>
      </c>
      <c r="L14" s="69">
        <v>0</v>
      </c>
      <c r="M14" s="69">
        <v>0</v>
      </c>
    </row>
    <row r="15" spans="1:13" ht="12.75" customHeight="1" x14ac:dyDescent="0.2">
      <c r="A15" s="62" t="s">
        <v>74</v>
      </c>
      <c r="B15" s="69">
        <v>0</v>
      </c>
      <c r="C15" s="69">
        <v>0</v>
      </c>
      <c r="D15" s="69">
        <v>0</v>
      </c>
      <c r="E15" s="69">
        <v>0</v>
      </c>
      <c r="F15" s="69">
        <v>0</v>
      </c>
      <c r="G15" s="69">
        <v>0</v>
      </c>
      <c r="H15" s="69">
        <v>0</v>
      </c>
      <c r="I15" s="69">
        <v>0</v>
      </c>
      <c r="J15" s="69">
        <v>0</v>
      </c>
      <c r="K15" s="69">
        <v>0</v>
      </c>
      <c r="L15" s="69">
        <v>20.170000000000002</v>
      </c>
      <c r="M15" s="69">
        <v>0</v>
      </c>
    </row>
    <row r="16" spans="1:13" ht="12.75" customHeight="1" x14ac:dyDescent="0.2">
      <c r="A16" s="51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</row>
    <row r="17" spans="1:16" ht="12.75" customHeight="1" x14ac:dyDescent="0.2">
      <c r="A17" s="67" t="s">
        <v>29</v>
      </c>
      <c r="B17" s="68">
        <f t="shared" ref="B17:C17" si="6">B18+B19+B20</f>
        <v>324.07</v>
      </c>
      <c r="C17" s="68">
        <f t="shared" si="6"/>
        <v>334.16999999999996</v>
      </c>
      <c r="D17" s="68">
        <f t="shared" ref="D17:M17" si="7">SUM(D18:D21)</f>
        <v>334.82</v>
      </c>
      <c r="E17" s="68">
        <f t="shared" si="7"/>
        <v>233.37</v>
      </c>
      <c r="F17" s="68">
        <f t="shared" si="7"/>
        <v>333.85</v>
      </c>
      <c r="G17" s="68">
        <f t="shared" si="7"/>
        <v>335.38</v>
      </c>
      <c r="H17" s="68">
        <f t="shared" si="7"/>
        <v>336.31</v>
      </c>
      <c r="I17" s="68">
        <f t="shared" si="7"/>
        <v>236.67</v>
      </c>
      <c r="J17" s="68">
        <f t="shared" si="7"/>
        <v>343.72</v>
      </c>
      <c r="K17" s="68">
        <f t="shared" si="7"/>
        <v>344.02</v>
      </c>
      <c r="L17" s="68">
        <f t="shared" si="7"/>
        <v>338.95</v>
      </c>
      <c r="M17" s="68">
        <f t="shared" si="7"/>
        <v>336.66999999999996</v>
      </c>
    </row>
    <row r="18" spans="1:16" ht="12.75" customHeight="1" x14ac:dyDescent="0.2">
      <c r="A18" s="62" t="s">
        <v>30</v>
      </c>
      <c r="B18" s="70">
        <v>76.5</v>
      </c>
      <c r="C18" s="70">
        <v>76.3</v>
      </c>
      <c r="D18" s="70">
        <v>76.3</v>
      </c>
      <c r="E18" s="70">
        <v>76.3</v>
      </c>
      <c r="F18" s="70">
        <v>76.3</v>
      </c>
      <c r="G18" s="70">
        <v>76.3</v>
      </c>
      <c r="H18" s="70">
        <v>76.3</v>
      </c>
      <c r="I18" s="70">
        <v>76.3</v>
      </c>
      <c r="J18" s="70">
        <v>76.3</v>
      </c>
      <c r="K18" s="70">
        <v>76.3</v>
      </c>
      <c r="L18" s="70">
        <v>76.3</v>
      </c>
      <c r="M18" s="70">
        <v>76.3</v>
      </c>
    </row>
    <row r="19" spans="1:16" ht="12.75" customHeight="1" x14ac:dyDescent="0.2">
      <c r="A19" s="62" t="s">
        <v>31</v>
      </c>
      <c r="B19" s="70">
        <v>47.57</v>
      </c>
      <c r="C19" s="70">
        <v>57.87</v>
      </c>
      <c r="D19" s="70">
        <v>58.52</v>
      </c>
      <c r="E19" s="70">
        <v>57.07</v>
      </c>
      <c r="F19" s="70">
        <v>57.55</v>
      </c>
      <c r="G19" s="70">
        <v>59.08</v>
      </c>
      <c r="H19" s="70">
        <v>60.01</v>
      </c>
      <c r="I19" s="70">
        <v>60.37</v>
      </c>
      <c r="J19" s="70">
        <v>67.42</v>
      </c>
      <c r="K19" s="70">
        <v>67.72</v>
      </c>
      <c r="L19" s="70">
        <v>62.65</v>
      </c>
      <c r="M19" s="70">
        <v>60.37</v>
      </c>
    </row>
    <row r="20" spans="1:16" ht="12.75" customHeight="1" x14ac:dyDescent="0.2">
      <c r="A20" s="62" t="s">
        <v>32</v>
      </c>
      <c r="B20" s="69">
        <v>200</v>
      </c>
      <c r="C20" s="69">
        <v>200</v>
      </c>
      <c r="D20" s="69">
        <v>200</v>
      </c>
      <c r="E20" s="69">
        <v>100</v>
      </c>
      <c r="F20" s="69">
        <v>200</v>
      </c>
      <c r="G20" s="69">
        <v>200</v>
      </c>
      <c r="H20" s="69">
        <v>200</v>
      </c>
      <c r="I20" s="69">
        <v>100</v>
      </c>
      <c r="J20" s="69">
        <f>100+100</f>
        <v>200</v>
      </c>
      <c r="K20" s="69">
        <v>200</v>
      </c>
      <c r="L20" s="70">
        <v>200</v>
      </c>
      <c r="M20" s="70">
        <v>200</v>
      </c>
    </row>
    <row r="21" spans="1:16" ht="12.75" customHeight="1" x14ac:dyDescent="0.2">
      <c r="A21" s="51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9"/>
    </row>
    <row r="22" spans="1:16" ht="12.75" customHeight="1" x14ac:dyDescent="0.2">
      <c r="A22" s="67" t="s">
        <v>33</v>
      </c>
      <c r="B22" s="68">
        <f>B23+B24+B25</f>
        <v>310</v>
      </c>
      <c r="C22" s="68">
        <f t="shared" ref="C22:M22" si="8">SUM(C23:C26)</f>
        <v>0</v>
      </c>
      <c r="D22" s="68">
        <f t="shared" si="8"/>
        <v>1000</v>
      </c>
      <c r="E22" s="68">
        <f t="shared" si="8"/>
        <v>150</v>
      </c>
      <c r="F22" s="68">
        <f t="shared" si="8"/>
        <v>600</v>
      </c>
      <c r="G22" s="68">
        <f t="shared" si="8"/>
        <v>150</v>
      </c>
      <c r="H22" s="68">
        <f t="shared" si="8"/>
        <v>150</v>
      </c>
      <c r="I22" s="68">
        <f t="shared" si="8"/>
        <v>150</v>
      </c>
      <c r="J22" s="68">
        <f t="shared" si="8"/>
        <v>845</v>
      </c>
      <c r="K22" s="68">
        <f t="shared" si="8"/>
        <v>560</v>
      </c>
      <c r="L22" s="68">
        <f t="shared" si="8"/>
        <v>150</v>
      </c>
      <c r="M22" s="68">
        <f t="shared" si="8"/>
        <v>380</v>
      </c>
    </row>
    <row r="23" spans="1:16" ht="12.75" customHeight="1" x14ac:dyDescent="0.2">
      <c r="A23" s="62" t="s">
        <v>34</v>
      </c>
      <c r="B23" s="70">
        <v>0</v>
      </c>
      <c r="C23" s="69">
        <v>0</v>
      </c>
      <c r="D23" s="69">
        <v>0</v>
      </c>
      <c r="E23" s="69">
        <v>0</v>
      </c>
      <c r="F23" s="69">
        <v>0</v>
      </c>
      <c r="G23" s="69">
        <v>0</v>
      </c>
      <c r="H23" s="69">
        <v>0</v>
      </c>
      <c r="I23" s="69">
        <v>0</v>
      </c>
      <c r="J23" s="69">
        <v>0</v>
      </c>
      <c r="K23" s="69">
        <v>0</v>
      </c>
      <c r="L23" s="69">
        <v>0</v>
      </c>
      <c r="M23" s="69">
        <v>0</v>
      </c>
    </row>
    <row r="24" spans="1:16" ht="12.75" customHeight="1" x14ac:dyDescent="0.2">
      <c r="A24" s="62" t="s">
        <v>35</v>
      </c>
      <c r="B24" s="70">
        <v>310</v>
      </c>
      <c r="C24" s="70">
        <v>0</v>
      </c>
      <c r="D24" s="70">
        <v>1000</v>
      </c>
      <c r="E24" s="70">
        <v>0</v>
      </c>
      <c r="F24" s="70">
        <v>450</v>
      </c>
      <c r="G24" s="70">
        <v>0</v>
      </c>
      <c r="H24" s="70">
        <v>0</v>
      </c>
      <c r="I24" s="70">
        <v>0</v>
      </c>
      <c r="J24" s="70">
        <f>45+650</f>
        <v>695</v>
      </c>
      <c r="K24" s="115">
        <v>410</v>
      </c>
      <c r="L24" s="70">
        <v>0</v>
      </c>
      <c r="M24" s="70">
        <v>230</v>
      </c>
    </row>
    <row r="25" spans="1:16" ht="12.75" customHeight="1" x14ac:dyDescent="0.2">
      <c r="A25" s="62" t="s">
        <v>42</v>
      </c>
      <c r="B25" s="70">
        <v>0</v>
      </c>
      <c r="C25" s="70">
        <v>0</v>
      </c>
      <c r="D25" s="70">
        <v>0</v>
      </c>
      <c r="E25" s="70">
        <v>150</v>
      </c>
      <c r="F25" s="70">
        <v>150</v>
      </c>
      <c r="G25" s="70">
        <v>150</v>
      </c>
      <c r="H25" s="70">
        <v>150</v>
      </c>
      <c r="I25" s="70">
        <v>150</v>
      </c>
      <c r="J25" s="70">
        <v>150</v>
      </c>
      <c r="K25" s="70">
        <v>150</v>
      </c>
      <c r="L25" s="70">
        <v>150</v>
      </c>
      <c r="M25" s="70">
        <v>150</v>
      </c>
    </row>
    <row r="26" spans="1:16" ht="12.75" customHeight="1" x14ac:dyDescent="0.2">
      <c r="A26" s="51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</row>
    <row r="27" spans="1:16" ht="12.75" customHeight="1" x14ac:dyDescent="0.2">
      <c r="A27" s="71" t="s">
        <v>36</v>
      </c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</row>
    <row r="28" spans="1:16" ht="12.75" customHeight="1" x14ac:dyDescent="0.2">
      <c r="A28" s="62" t="s">
        <v>37</v>
      </c>
      <c r="B28" s="70">
        <f>'Fluxo de caixa 2024'!M31+'Fluxo de caixa 2025'!B8</f>
        <v>4417.17</v>
      </c>
      <c r="C28" s="70">
        <f>C8+B33</f>
        <v>4383.1000000000004</v>
      </c>
      <c r="D28" s="70">
        <f>D8+C33</f>
        <v>4648.93</v>
      </c>
      <c r="E28" s="70">
        <f>E8+D33</f>
        <v>3914.1100000000006</v>
      </c>
      <c r="F28" s="70">
        <f>F8+E33</f>
        <v>4130.7400000000007</v>
      </c>
      <c r="G28" s="70">
        <f>F33+G8</f>
        <v>3796.8900000000008</v>
      </c>
      <c r="H28" s="70">
        <f>G33+H9</f>
        <v>3911.5100000000007</v>
      </c>
      <c r="I28" s="70">
        <f>I8+H33</f>
        <v>4025.2000000000007</v>
      </c>
      <c r="J28" s="70">
        <f t="shared" ref="J28:M28" si="9">I33+J8</f>
        <v>4662.59</v>
      </c>
      <c r="K28" s="70">
        <f t="shared" si="9"/>
        <v>4138.21</v>
      </c>
      <c r="L28" s="70">
        <f t="shared" si="9"/>
        <v>3923.86</v>
      </c>
      <c r="M28" s="70">
        <f t="shared" si="9"/>
        <v>4060.67</v>
      </c>
    </row>
    <row r="29" spans="1:16" ht="12.75" customHeight="1" x14ac:dyDescent="0.2">
      <c r="A29" s="62" t="s">
        <v>38</v>
      </c>
      <c r="B29" s="70">
        <f t="shared" ref="B29:E29" si="10">B10</f>
        <v>0</v>
      </c>
      <c r="C29" s="70">
        <f t="shared" si="10"/>
        <v>0</v>
      </c>
      <c r="D29" s="70">
        <f t="shared" si="10"/>
        <v>0</v>
      </c>
      <c r="E29" s="70">
        <f t="shared" si="10"/>
        <v>0</v>
      </c>
      <c r="F29" s="70">
        <f>F13</f>
        <v>0</v>
      </c>
      <c r="G29" s="70">
        <v>0</v>
      </c>
      <c r="H29" s="70">
        <f>H10</f>
        <v>0</v>
      </c>
      <c r="I29" s="70">
        <f>I13</f>
        <v>0</v>
      </c>
      <c r="J29" s="70">
        <f>J10</f>
        <v>424.06</v>
      </c>
      <c r="K29" s="70">
        <f t="shared" ref="K29:M29" si="11">K10</f>
        <v>64.34</v>
      </c>
      <c r="L29" s="70">
        <f t="shared" si="11"/>
        <v>25.33</v>
      </c>
      <c r="M29" s="70">
        <f t="shared" si="11"/>
        <v>20.6</v>
      </c>
    </row>
    <row r="30" spans="1:16" ht="12.75" customHeight="1" x14ac:dyDescent="0.2">
      <c r="A30" s="62" t="s">
        <v>39</v>
      </c>
      <c r="B30" s="70">
        <f t="shared" ref="B30:M30" si="12">B17</f>
        <v>324.07</v>
      </c>
      <c r="C30" s="70">
        <f t="shared" si="12"/>
        <v>334.16999999999996</v>
      </c>
      <c r="D30" s="70">
        <f t="shared" si="12"/>
        <v>334.82</v>
      </c>
      <c r="E30" s="70">
        <f t="shared" si="12"/>
        <v>233.37</v>
      </c>
      <c r="F30" s="70">
        <f t="shared" si="12"/>
        <v>333.85</v>
      </c>
      <c r="G30" s="70">
        <f t="shared" si="12"/>
        <v>335.38</v>
      </c>
      <c r="H30" s="70">
        <f t="shared" si="12"/>
        <v>336.31</v>
      </c>
      <c r="I30" s="70">
        <f t="shared" si="12"/>
        <v>236.67</v>
      </c>
      <c r="J30" s="70">
        <f t="shared" si="12"/>
        <v>343.72</v>
      </c>
      <c r="K30" s="70">
        <f t="shared" si="12"/>
        <v>344.02</v>
      </c>
      <c r="L30" s="70">
        <f t="shared" si="12"/>
        <v>338.95</v>
      </c>
      <c r="M30" s="70">
        <f t="shared" si="12"/>
        <v>336.66999999999996</v>
      </c>
    </row>
    <row r="31" spans="1:16" ht="12.75" customHeight="1" x14ac:dyDescent="0.2">
      <c r="A31" s="62" t="s">
        <v>40</v>
      </c>
      <c r="B31" s="70">
        <f t="shared" ref="B31" si="13">B22</f>
        <v>310</v>
      </c>
      <c r="C31" s="70">
        <f t="shared" ref="C31:M31" si="14">C22</f>
        <v>0</v>
      </c>
      <c r="D31" s="70">
        <f t="shared" si="14"/>
        <v>1000</v>
      </c>
      <c r="E31" s="70">
        <f t="shared" si="14"/>
        <v>150</v>
      </c>
      <c r="F31" s="70">
        <f t="shared" si="14"/>
        <v>600</v>
      </c>
      <c r="G31" s="70">
        <f t="shared" si="14"/>
        <v>150</v>
      </c>
      <c r="H31" s="70">
        <f t="shared" si="14"/>
        <v>150</v>
      </c>
      <c r="I31" s="70">
        <f t="shared" si="14"/>
        <v>150</v>
      </c>
      <c r="J31" s="70">
        <f t="shared" si="14"/>
        <v>845</v>
      </c>
      <c r="K31" s="70">
        <f t="shared" si="14"/>
        <v>560</v>
      </c>
      <c r="L31" s="70">
        <f t="shared" si="14"/>
        <v>150</v>
      </c>
      <c r="M31" s="70">
        <f t="shared" si="14"/>
        <v>380</v>
      </c>
      <c r="P31" s="118"/>
    </row>
    <row r="32" spans="1:16" ht="12.75" customHeight="1" x14ac:dyDescent="0.2">
      <c r="A32" s="62" t="s">
        <v>75</v>
      </c>
      <c r="B32" s="70">
        <f>B13</f>
        <v>0</v>
      </c>
      <c r="C32" s="70">
        <f t="shared" ref="C32:L32" si="15">C13</f>
        <v>0</v>
      </c>
      <c r="D32" s="70">
        <f t="shared" si="15"/>
        <v>0</v>
      </c>
      <c r="E32" s="70">
        <f t="shared" si="15"/>
        <v>0</v>
      </c>
      <c r="F32" s="70">
        <f t="shared" si="15"/>
        <v>0</v>
      </c>
      <c r="G32" s="70">
        <f t="shared" si="15"/>
        <v>0</v>
      </c>
      <c r="H32" s="70">
        <f t="shared" si="15"/>
        <v>0</v>
      </c>
      <c r="I32" s="70">
        <f t="shared" si="15"/>
        <v>0</v>
      </c>
      <c r="J32" s="70">
        <f t="shared" si="15"/>
        <v>0</v>
      </c>
      <c r="K32" s="70">
        <f t="shared" si="15"/>
        <v>0</v>
      </c>
      <c r="L32" s="70">
        <f t="shared" si="15"/>
        <v>20.170000000000002</v>
      </c>
      <c r="M32" s="70">
        <f t="shared" ref="M32" si="16">M23</f>
        <v>0</v>
      </c>
    </row>
    <row r="33" spans="1:14" ht="12.75" customHeight="1" x14ac:dyDescent="0.2">
      <c r="A33" s="62" t="s">
        <v>41</v>
      </c>
      <c r="B33" s="73">
        <f>B28-B30-B31-B32</f>
        <v>3783.1</v>
      </c>
      <c r="C33" s="73">
        <f t="shared" ref="C33:I33" si="17">C28-C30-C31-C32</f>
        <v>4048.9300000000003</v>
      </c>
      <c r="D33" s="73">
        <f t="shared" si="17"/>
        <v>3314.1100000000006</v>
      </c>
      <c r="E33" s="73">
        <f t="shared" si="17"/>
        <v>3530.7400000000007</v>
      </c>
      <c r="F33" s="73">
        <f t="shared" si="17"/>
        <v>3196.8900000000008</v>
      </c>
      <c r="G33" s="73">
        <f t="shared" si="17"/>
        <v>3311.5100000000007</v>
      </c>
      <c r="H33" s="73">
        <f t="shared" si="17"/>
        <v>3425.2000000000007</v>
      </c>
      <c r="I33" s="73">
        <f t="shared" si="17"/>
        <v>3638.5300000000007</v>
      </c>
      <c r="J33" s="70">
        <f>J28-J30-J31</f>
        <v>3473.87</v>
      </c>
      <c r="K33" s="70">
        <f t="shared" ref="K33" si="18">K28+K29-K30-K31</f>
        <v>3298.53</v>
      </c>
      <c r="L33" s="117">
        <f>L28+L29-L30-L31-L32</f>
        <v>3440.07</v>
      </c>
      <c r="M33" s="70">
        <f>M28-M30-M31</f>
        <v>3344</v>
      </c>
    </row>
    <row r="34" spans="1:14" ht="12.75" customHeight="1" x14ac:dyDescent="0.2"/>
    <row r="35" spans="1:14" ht="12.75" customHeight="1" x14ac:dyDescent="0.2">
      <c r="A35" s="74" t="s">
        <v>43</v>
      </c>
      <c r="D35" s="75">
        <v>-3000</v>
      </c>
      <c r="E35" s="76">
        <f>D35+E25</f>
        <v>-2850</v>
      </c>
      <c r="F35" s="76">
        <f t="shared" ref="F35:G35" si="19">SUM(E35+F25)</f>
        <v>-2700</v>
      </c>
      <c r="G35" s="77">
        <f t="shared" si="19"/>
        <v>-2550</v>
      </c>
      <c r="H35" s="76">
        <f>SUM(G35+H22)</f>
        <v>-2400</v>
      </c>
      <c r="I35" s="76">
        <f t="shared" ref="I35:M35" si="20">H35+150</f>
        <v>-2250</v>
      </c>
      <c r="J35" s="76">
        <f t="shared" si="20"/>
        <v>-2100</v>
      </c>
      <c r="K35" s="76">
        <f t="shared" si="20"/>
        <v>-1950</v>
      </c>
      <c r="L35" s="76">
        <f t="shared" si="20"/>
        <v>-1800</v>
      </c>
      <c r="M35" s="76">
        <f t="shared" si="20"/>
        <v>-1650</v>
      </c>
    </row>
    <row r="36" spans="1:14" ht="12.75" customHeight="1" x14ac:dyDescent="0.2"/>
    <row r="37" spans="1:14" ht="12.75" customHeight="1" x14ac:dyDescent="0.2"/>
    <row r="38" spans="1:14" ht="12.75" customHeight="1" x14ac:dyDescent="0.2"/>
    <row r="39" spans="1:14" ht="12.75" customHeight="1" x14ac:dyDescent="0.2">
      <c r="N39" s="116"/>
    </row>
    <row r="40" spans="1:14" ht="12.75" customHeight="1" x14ac:dyDescent="0.2"/>
    <row r="41" spans="1:14" ht="12.75" customHeight="1" x14ac:dyDescent="0.2"/>
    <row r="42" spans="1:14" ht="12.75" customHeight="1" x14ac:dyDescent="0.2"/>
    <row r="43" spans="1:14" ht="12.75" customHeight="1" x14ac:dyDescent="0.2"/>
    <row r="44" spans="1:14" ht="12.75" customHeight="1" x14ac:dyDescent="0.2"/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</sheetData>
  <mergeCells count="8">
    <mergeCell ref="A1:A4"/>
    <mergeCell ref="B1:C1"/>
    <mergeCell ref="D1:H1"/>
    <mergeCell ref="B2:C2"/>
    <mergeCell ref="D2:F2"/>
    <mergeCell ref="B3:C3"/>
    <mergeCell ref="D3:E3"/>
    <mergeCell ref="G3:H3"/>
  </mergeCells>
  <hyperlinks>
    <hyperlink ref="D2" r:id="rId1" xr:uid="{00000000-0004-0000-0200-000000000000}"/>
  </hyperlinks>
  <pageMargins left="0.511811024" right="0.511811024" top="0.78740157499999996" bottom="0.78740157499999996" header="0" footer="0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E314-5C93-4389-B302-08B220D7C7FD}">
  <sheetPr>
    <tabColor rgb="FF7EBC0A"/>
  </sheetPr>
  <dimension ref="A1:P1002"/>
  <sheetViews>
    <sheetView tabSelected="1" workbookViewId="0">
      <selection activeCell="I39" sqref="I39"/>
    </sheetView>
  </sheetViews>
  <sheetFormatPr defaultColWidth="12.5703125" defaultRowHeight="15" customHeight="1" x14ac:dyDescent="0.2"/>
  <cols>
    <col min="1" max="1" width="26.7109375" customWidth="1"/>
    <col min="2" max="3" width="14.7109375" customWidth="1"/>
    <col min="4" max="4" width="13" customWidth="1"/>
    <col min="5" max="5" width="11.85546875" customWidth="1"/>
    <col min="6" max="6" width="12.140625" customWidth="1"/>
    <col min="7" max="7" width="12.7109375" customWidth="1"/>
    <col min="8" max="9" width="12.42578125" customWidth="1"/>
    <col min="10" max="13" width="14.7109375" customWidth="1"/>
    <col min="14" max="26" width="8.5703125" customWidth="1"/>
  </cols>
  <sheetData>
    <row r="1" spans="1:16" ht="12.75" customHeight="1" x14ac:dyDescent="0.2">
      <c r="A1" s="122"/>
      <c r="B1" s="124" t="s">
        <v>17</v>
      </c>
      <c r="C1" s="123"/>
      <c r="D1" s="125" t="s">
        <v>18</v>
      </c>
      <c r="E1" s="123"/>
      <c r="F1" s="123"/>
      <c r="G1" s="123"/>
      <c r="H1" s="123"/>
      <c r="I1" s="45"/>
      <c r="J1" s="46"/>
      <c r="K1" s="46"/>
      <c r="L1" s="46"/>
      <c r="M1" s="46"/>
    </row>
    <row r="2" spans="1:16" ht="12.75" customHeight="1" x14ac:dyDescent="0.2">
      <c r="A2" s="123"/>
      <c r="B2" s="124" t="s">
        <v>19</v>
      </c>
      <c r="C2" s="123"/>
      <c r="D2" s="126" t="s">
        <v>20</v>
      </c>
      <c r="E2" s="123"/>
      <c r="F2" s="123"/>
      <c r="G2" s="47" t="s">
        <v>21</v>
      </c>
      <c r="H2" s="44">
        <v>2026</v>
      </c>
      <c r="I2" s="48"/>
      <c r="J2" s="49"/>
      <c r="K2" s="49"/>
      <c r="L2" s="49"/>
      <c r="M2" s="49"/>
    </row>
    <row r="3" spans="1:16" ht="12.75" customHeight="1" x14ac:dyDescent="0.2">
      <c r="A3" s="123"/>
      <c r="B3" s="124"/>
      <c r="C3" s="123"/>
      <c r="D3" s="127"/>
      <c r="E3" s="123"/>
      <c r="F3" s="47"/>
      <c r="G3" s="127"/>
      <c r="H3" s="123"/>
      <c r="I3" s="48"/>
      <c r="J3" s="49"/>
      <c r="K3" s="49"/>
      <c r="L3" s="49"/>
      <c r="M3" s="49"/>
    </row>
    <row r="4" spans="1:16" ht="12.75" customHeight="1" x14ac:dyDescent="0.2">
      <c r="A4" s="123"/>
      <c r="B4" s="51"/>
      <c r="C4" s="52"/>
      <c r="D4" s="52"/>
      <c r="E4" s="52"/>
      <c r="F4" s="52"/>
      <c r="G4" s="52"/>
      <c r="H4" s="52"/>
      <c r="I4" s="53"/>
      <c r="J4" s="53"/>
      <c r="K4" s="53"/>
      <c r="L4" s="53"/>
      <c r="M4" s="53"/>
    </row>
    <row r="5" spans="1:16" ht="12.75" customHeight="1" x14ac:dyDescent="0.2">
      <c r="A5" s="54" t="s">
        <v>22</v>
      </c>
      <c r="B5" s="55" t="str">
        <f>CONCATENATE("Janeiro/",$H$2)</f>
        <v>Janeiro/2026</v>
      </c>
      <c r="C5" s="55" t="str">
        <f>CONCATENATE("Fevereiro/",$H$2)</f>
        <v>Fevereiro/2026</v>
      </c>
      <c r="D5" s="55" t="str">
        <f>CONCATENATE("Março/",$H$2)</f>
        <v>Março/2026</v>
      </c>
      <c r="E5" s="55" t="str">
        <f>CONCATENATE("Abril/",$H$2)</f>
        <v>Abril/2026</v>
      </c>
      <c r="F5" s="55" t="str">
        <f>CONCATENATE("Maio/",$H$2)</f>
        <v>Maio/2026</v>
      </c>
      <c r="G5" s="55" t="str">
        <f>CONCATENATE("Junho/",$H$2)</f>
        <v>Junho/2026</v>
      </c>
      <c r="H5" s="55" t="str">
        <f>CONCATENATE("Julho/",$H$2)</f>
        <v>Julho/2026</v>
      </c>
      <c r="I5" s="55" t="str">
        <f>CONCATENATE("Agosto/",$H$2)</f>
        <v>Agosto/2026</v>
      </c>
      <c r="J5" s="55" t="str">
        <f>CONCATENATE("Setembro/",$H$2)</f>
        <v>Setembro/2026</v>
      </c>
      <c r="K5" s="55" t="str">
        <f>CONCATENATE("Outubro/",$H$2)</f>
        <v>Outubro/2026</v>
      </c>
      <c r="L5" s="55" t="str">
        <f>CONCATENATE("Novembro/",$H$2)</f>
        <v>Novembro/2026</v>
      </c>
      <c r="M5" s="55" t="str">
        <f>CONCATENATE("Dezembro/",$H$2)</f>
        <v>Dezembro/2026</v>
      </c>
    </row>
    <row r="6" spans="1:16" ht="12.75" customHeight="1" x14ac:dyDescent="0.2">
      <c r="A6" s="56" t="s">
        <v>23</v>
      </c>
      <c r="B6" s="57">
        <f>'Fluxo de caixa 2025'!M33+B8-B17-B22</f>
        <v>2634.45</v>
      </c>
      <c r="C6" s="57">
        <f>C33</f>
        <v>2733.21</v>
      </c>
      <c r="D6" s="57">
        <f>D33</f>
        <v>2794.29</v>
      </c>
      <c r="E6" s="57">
        <f>E33</f>
        <v>3124.3500000000004</v>
      </c>
      <c r="F6" s="57">
        <f>F33</f>
        <v>2633.1600000000003</v>
      </c>
      <c r="G6" s="57"/>
      <c r="H6" s="57"/>
      <c r="I6" s="57"/>
      <c r="J6" s="57"/>
      <c r="K6" s="57"/>
      <c r="L6" s="57"/>
      <c r="M6" s="57"/>
    </row>
    <row r="7" spans="1:16" ht="12.75" customHeight="1" x14ac:dyDescent="0.2">
      <c r="A7" s="51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9"/>
    </row>
    <row r="8" spans="1:16" ht="12.75" customHeight="1" x14ac:dyDescent="0.2">
      <c r="A8" s="60" t="s">
        <v>24</v>
      </c>
      <c r="B8" s="61">
        <f>SUM(B9:B11)</f>
        <v>636.1</v>
      </c>
      <c r="C8" s="61">
        <f>C9</f>
        <v>600</v>
      </c>
      <c r="D8" s="61">
        <f>D9+D10</f>
        <v>656.21</v>
      </c>
      <c r="E8" s="61">
        <f>E9+E10</f>
        <v>624.97</v>
      </c>
      <c r="F8" s="61">
        <f t="shared" ref="F8:M8" si="0">SUM(F9:F11)</f>
        <v>635.12</v>
      </c>
      <c r="G8" s="61">
        <f t="shared" si="0"/>
        <v>605.55999999999995</v>
      </c>
      <c r="H8" s="61">
        <f t="shared" si="0"/>
        <v>0</v>
      </c>
      <c r="I8" s="61">
        <f t="shared" si="0"/>
        <v>0</v>
      </c>
      <c r="J8" s="61">
        <f t="shared" si="0"/>
        <v>0</v>
      </c>
      <c r="K8" s="61">
        <f t="shared" si="0"/>
        <v>0</v>
      </c>
      <c r="L8" s="61">
        <f t="shared" si="0"/>
        <v>0</v>
      </c>
      <c r="M8" s="61">
        <f t="shared" si="0"/>
        <v>0</v>
      </c>
    </row>
    <row r="9" spans="1:16" ht="12.75" customHeight="1" x14ac:dyDescent="0.2">
      <c r="A9" s="62" t="s">
        <v>25</v>
      </c>
      <c r="B9" s="63">
        <f>TaxaCondominio!Z10</f>
        <v>600</v>
      </c>
      <c r="C9" s="63">
        <f>TaxaCondominio!AA10</f>
        <v>600</v>
      </c>
      <c r="D9" s="63">
        <f>TaxaCondominio!AB10</f>
        <v>600</v>
      </c>
      <c r="E9" s="63">
        <f>TaxaCondominio!AC10</f>
        <v>600</v>
      </c>
      <c r="F9" s="63">
        <f>TaxaCondominio!AD10</f>
        <v>600</v>
      </c>
      <c r="G9" s="63">
        <f>TaxaCondominio!AE10</f>
        <v>600</v>
      </c>
      <c r="H9" s="63">
        <f>TaxaCondominio!AF10</f>
        <v>0</v>
      </c>
      <c r="I9" s="63">
        <f>TaxaCondominio!AG10</f>
        <v>0</v>
      </c>
      <c r="J9" s="63">
        <f>TaxaCondominio!AH10</f>
        <v>0</v>
      </c>
      <c r="K9" s="63">
        <f>TaxaCondominio!AI10</f>
        <v>0</v>
      </c>
      <c r="L9" s="63">
        <f>TaxaCondominio!AJ10</f>
        <v>0</v>
      </c>
      <c r="M9" s="63">
        <f>TaxaCondominio!AK10</f>
        <v>0</v>
      </c>
    </row>
    <row r="10" spans="1:16" ht="12.75" customHeight="1" x14ac:dyDescent="0.2">
      <c r="A10" s="62" t="s">
        <v>26</v>
      </c>
      <c r="B10" s="65">
        <v>36.1</v>
      </c>
      <c r="C10" s="65">
        <v>27.74</v>
      </c>
      <c r="D10" s="65">
        <v>56.21</v>
      </c>
      <c r="E10" s="65">
        <v>24.97</v>
      </c>
      <c r="F10" s="66">
        <v>35.119999999999997</v>
      </c>
      <c r="G10" s="66">
        <v>5.56</v>
      </c>
      <c r="H10" s="65"/>
      <c r="I10" s="65"/>
      <c r="J10" s="65"/>
      <c r="K10" s="65"/>
      <c r="L10" s="65"/>
      <c r="M10" s="65"/>
    </row>
    <row r="11" spans="1:16" ht="12.75" customHeight="1" x14ac:dyDescent="0.2">
      <c r="A11" s="51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9"/>
    </row>
    <row r="12" spans="1:16" ht="12.75" customHeight="1" x14ac:dyDescent="0.2">
      <c r="A12" s="51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9"/>
    </row>
    <row r="13" spans="1:16" ht="12.75" customHeight="1" x14ac:dyDescent="0.2">
      <c r="A13" s="67" t="s">
        <v>27</v>
      </c>
      <c r="B13" s="68">
        <f t="shared" ref="B13:M13" si="1">SUM(B14:B16)</f>
        <v>0</v>
      </c>
      <c r="C13" s="68">
        <f t="shared" si="1"/>
        <v>0</v>
      </c>
      <c r="D13" s="68">
        <f t="shared" si="1"/>
        <v>0</v>
      </c>
      <c r="E13" s="68">
        <f t="shared" si="1"/>
        <v>0</v>
      </c>
      <c r="F13" s="68">
        <f t="shared" si="1"/>
        <v>0</v>
      </c>
      <c r="G13" s="68">
        <f t="shared" si="1"/>
        <v>0</v>
      </c>
      <c r="H13" s="68">
        <f t="shared" si="1"/>
        <v>0</v>
      </c>
      <c r="I13" s="68">
        <f t="shared" si="1"/>
        <v>0</v>
      </c>
      <c r="J13" s="68">
        <f t="shared" si="1"/>
        <v>0</v>
      </c>
      <c r="K13" s="68">
        <f t="shared" si="1"/>
        <v>0</v>
      </c>
      <c r="L13" s="68">
        <f t="shared" si="1"/>
        <v>0</v>
      </c>
      <c r="M13" s="68">
        <f t="shared" si="1"/>
        <v>0</v>
      </c>
      <c r="P13" s="118"/>
    </row>
    <row r="14" spans="1:16" ht="12.75" customHeight="1" x14ac:dyDescent="0.2">
      <c r="A14" s="62" t="s">
        <v>28</v>
      </c>
      <c r="B14" s="69">
        <v>0</v>
      </c>
      <c r="C14" s="69">
        <v>0</v>
      </c>
      <c r="D14" s="69">
        <v>0</v>
      </c>
      <c r="E14" s="69">
        <v>0</v>
      </c>
      <c r="F14" s="69">
        <v>0</v>
      </c>
      <c r="G14" s="69">
        <v>0</v>
      </c>
      <c r="H14" s="69">
        <v>0</v>
      </c>
      <c r="I14" s="69">
        <v>0</v>
      </c>
      <c r="J14" s="69">
        <v>0</v>
      </c>
      <c r="K14" s="69">
        <v>0</v>
      </c>
      <c r="L14" s="69">
        <v>0</v>
      </c>
      <c r="M14" s="69">
        <v>0</v>
      </c>
    </row>
    <row r="15" spans="1:16" ht="12.75" customHeight="1" x14ac:dyDescent="0.2">
      <c r="A15" s="62" t="s">
        <v>74</v>
      </c>
      <c r="B15" s="69">
        <v>0</v>
      </c>
      <c r="C15" s="69">
        <v>0</v>
      </c>
      <c r="D15" s="69">
        <v>0</v>
      </c>
      <c r="E15" s="69">
        <v>0</v>
      </c>
      <c r="F15" s="69">
        <v>0</v>
      </c>
      <c r="G15" s="69">
        <v>0</v>
      </c>
      <c r="H15" s="69">
        <v>0</v>
      </c>
      <c r="I15" s="69">
        <v>0</v>
      </c>
      <c r="J15" s="69">
        <v>0</v>
      </c>
      <c r="K15" s="69">
        <v>0</v>
      </c>
      <c r="L15" s="69">
        <v>0</v>
      </c>
      <c r="M15" s="69">
        <v>0</v>
      </c>
    </row>
    <row r="16" spans="1:16" ht="12.75" customHeight="1" x14ac:dyDescent="0.2">
      <c r="A16" s="51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</row>
    <row r="17" spans="1:16" ht="12.75" customHeight="1" x14ac:dyDescent="0.2">
      <c r="A17" s="67" t="s">
        <v>29</v>
      </c>
      <c r="B17" s="68">
        <f t="shared" ref="B17:C17" si="2">B18+B19+B20</f>
        <v>345.65</v>
      </c>
      <c r="C17" s="68">
        <f t="shared" si="2"/>
        <v>351.24</v>
      </c>
      <c r="D17" s="68">
        <f t="shared" ref="D17:M17" si="3">SUM(D18:D21)</f>
        <v>145.13</v>
      </c>
      <c r="E17" s="68">
        <f t="shared" si="3"/>
        <v>144.91</v>
      </c>
      <c r="F17" s="68">
        <f t="shared" si="3"/>
        <v>976.31</v>
      </c>
      <c r="G17" s="68">
        <f t="shared" si="3"/>
        <v>445.96</v>
      </c>
      <c r="H17" s="68">
        <f t="shared" si="3"/>
        <v>0</v>
      </c>
      <c r="I17" s="68">
        <f t="shared" si="3"/>
        <v>0</v>
      </c>
      <c r="J17" s="68">
        <f t="shared" si="3"/>
        <v>0</v>
      </c>
      <c r="K17" s="68">
        <f t="shared" si="3"/>
        <v>0</v>
      </c>
      <c r="L17" s="68">
        <f t="shared" si="3"/>
        <v>0</v>
      </c>
      <c r="M17" s="68">
        <f t="shared" si="3"/>
        <v>0</v>
      </c>
    </row>
    <row r="18" spans="1:16" ht="12.75" customHeight="1" x14ac:dyDescent="0.2">
      <c r="A18" s="62" t="s">
        <v>30</v>
      </c>
      <c r="B18" s="70">
        <v>80.22</v>
      </c>
      <c r="C18" s="70">
        <v>81.25</v>
      </c>
      <c r="D18" s="70">
        <v>81.239999999999995</v>
      </c>
      <c r="E18" s="70">
        <v>81.239999999999995</v>
      </c>
      <c r="F18" s="70">
        <v>81.239999999999995</v>
      </c>
      <c r="G18" s="70">
        <v>81.239999999999995</v>
      </c>
      <c r="H18" s="70">
        <v>0</v>
      </c>
      <c r="I18" s="70">
        <v>0</v>
      </c>
      <c r="J18" s="70">
        <v>0</v>
      </c>
      <c r="K18" s="70">
        <v>0</v>
      </c>
      <c r="L18" s="70">
        <v>0</v>
      </c>
      <c r="M18" s="70">
        <v>0</v>
      </c>
    </row>
    <row r="19" spans="1:16" ht="12.75" customHeight="1" x14ac:dyDescent="0.2">
      <c r="A19" s="62" t="s">
        <v>31</v>
      </c>
      <c r="B19" s="70">
        <v>65.430000000000007</v>
      </c>
      <c r="C19" s="70">
        <v>69.989999999999995</v>
      </c>
      <c r="D19" s="70">
        <v>63.89</v>
      </c>
      <c r="E19" s="70">
        <v>63.67</v>
      </c>
      <c r="F19" s="70">
        <v>64.680000000000007</v>
      </c>
      <c r="G19" s="70">
        <v>64.72</v>
      </c>
      <c r="H19" s="70">
        <v>0</v>
      </c>
      <c r="I19" s="70">
        <v>0</v>
      </c>
      <c r="J19" s="70">
        <v>0</v>
      </c>
      <c r="K19" s="70">
        <v>0</v>
      </c>
      <c r="L19" s="70">
        <v>0</v>
      </c>
      <c r="M19" s="70">
        <v>0</v>
      </c>
    </row>
    <row r="20" spans="1:16" ht="12.75" customHeight="1" x14ac:dyDescent="0.2">
      <c r="A20" s="62" t="s">
        <v>32</v>
      </c>
      <c r="B20" s="69">
        <v>200</v>
      </c>
      <c r="C20" s="69">
        <v>200</v>
      </c>
      <c r="D20" s="69">
        <v>0</v>
      </c>
      <c r="E20" s="69">
        <v>0</v>
      </c>
      <c r="F20" s="69">
        <f>150 + 150 + 399 + 131.39</f>
        <v>830.39</v>
      </c>
      <c r="G20" s="69">
        <v>300</v>
      </c>
      <c r="H20" s="69">
        <v>0</v>
      </c>
      <c r="I20" s="69">
        <v>0</v>
      </c>
      <c r="J20" s="69">
        <v>0</v>
      </c>
      <c r="K20" s="69">
        <v>0</v>
      </c>
      <c r="L20" s="69">
        <v>0</v>
      </c>
      <c r="M20" s="69">
        <v>0</v>
      </c>
    </row>
    <row r="21" spans="1:16" ht="12.75" customHeight="1" x14ac:dyDescent="0.2">
      <c r="A21" s="51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9"/>
    </row>
    <row r="22" spans="1:16" ht="12.75" customHeight="1" x14ac:dyDescent="0.2">
      <c r="A22" s="67" t="s">
        <v>33</v>
      </c>
      <c r="B22" s="68">
        <f>B23+B24+B25</f>
        <v>1000</v>
      </c>
      <c r="C22" s="68">
        <f t="shared" ref="C22:M22" si="4">SUM(C23:C26)</f>
        <v>150</v>
      </c>
      <c r="D22" s="68">
        <f t="shared" si="4"/>
        <v>450</v>
      </c>
      <c r="E22" s="68">
        <f t="shared" si="4"/>
        <v>150</v>
      </c>
      <c r="F22" s="68">
        <f t="shared" si="4"/>
        <v>150</v>
      </c>
      <c r="G22" s="68">
        <f t="shared" si="4"/>
        <v>2353.2399999999998</v>
      </c>
      <c r="H22" s="68">
        <f t="shared" si="4"/>
        <v>0</v>
      </c>
      <c r="I22" s="68">
        <f t="shared" si="4"/>
        <v>0</v>
      </c>
      <c r="J22" s="68">
        <f t="shared" si="4"/>
        <v>0</v>
      </c>
      <c r="K22" s="68">
        <f t="shared" si="4"/>
        <v>0</v>
      </c>
      <c r="L22" s="68">
        <f t="shared" si="4"/>
        <v>0</v>
      </c>
      <c r="M22" s="68">
        <f t="shared" si="4"/>
        <v>0</v>
      </c>
    </row>
    <row r="23" spans="1:16" ht="12.75" customHeight="1" x14ac:dyDescent="0.2">
      <c r="A23" s="62" t="s">
        <v>34</v>
      </c>
      <c r="B23" s="70">
        <v>0</v>
      </c>
      <c r="C23" s="69">
        <v>0</v>
      </c>
      <c r="D23" s="69">
        <v>300</v>
      </c>
      <c r="E23" s="69">
        <v>0</v>
      </c>
      <c r="F23" s="69">
        <v>0</v>
      </c>
      <c r="G23" s="69">
        <f xml:space="preserve"> 1500 + 673.24</f>
        <v>2173.2399999999998</v>
      </c>
      <c r="H23" s="69">
        <v>0</v>
      </c>
      <c r="I23" s="69">
        <v>0</v>
      </c>
      <c r="J23" s="69">
        <v>0</v>
      </c>
      <c r="K23" s="69">
        <v>0</v>
      </c>
      <c r="L23" s="69">
        <v>0</v>
      </c>
      <c r="M23" s="69">
        <v>0</v>
      </c>
    </row>
    <row r="24" spans="1:16" ht="12.75" customHeight="1" x14ac:dyDescent="0.2">
      <c r="A24" s="62" t="s">
        <v>35</v>
      </c>
      <c r="B24" s="70">
        <v>850</v>
      </c>
      <c r="C24" s="70">
        <v>0</v>
      </c>
      <c r="D24" s="70">
        <v>0</v>
      </c>
      <c r="E24" s="70">
        <v>0</v>
      </c>
      <c r="F24" s="70">
        <v>0</v>
      </c>
      <c r="G24" s="70">
        <v>180</v>
      </c>
      <c r="H24" s="70">
        <v>0</v>
      </c>
      <c r="I24" s="70">
        <v>0</v>
      </c>
      <c r="J24" s="70">
        <v>0</v>
      </c>
      <c r="K24" s="70">
        <v>0</v>
      </c>
      <c r="L24" s="70">
        <v>0</v>
      </c>
      <c r="M24" s="70">
        <v>0</v>
      </c>
    </row>
    <row r="25" spans="1:16" ht="12.75" customHeight="1" x14ac:dyDescent="0.2">
      <c r="A25" s="62" t="s">
        <v>42</v>
      </c>
      <c r="B25" s="70">
        <v>150</v>
      </c>
      <c r="C25" s="70">
        <v>150</v>
      </c>
      <c r="D25" s="70">
        <v>150</v>
      </c>
      <c r="E25" s="70">
        <v>150</v>
      </c>
      <c r="F25" s="70">
        <v>150</v>
      </c>
      <c r="G25" s="70">
        <v>0</v>
      </c>
      <c r="H25" s="70"/>
      <c r="I25" s="70"/>
      <c r="J25" s="70"/>
      <c r="K25" s="70"/>
      <c r="L25" s="70">
        <v>0</v>
      </c>
      <c r="M25" s="70">
        <v>0</v>
      </c>
    </row>
    <row r="26" spans="1:16" ht="12.75" customHeight="1" x14ac:dyDescent="0.2">
      <c r="A26" s="51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</row>
    <row r="27" spans="1:16" ht="12.75" customHeight="1" x14ac:dyDescent="0.2">
      <c r="A27" s="71" t="s">
        <v>36</v>
      </c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</row>
    <row r="28" spans="1:16" ht="12.75" customHeight="1" x14ac:dyDescent="0.2">
      <c r="A28" s="62" t="s">
        <v>37</v>
      </c>
      <c r="B28" s="70">
        <f>'Fluxo de caixa 2025'!M33+'Fluxo de caixa 2026'!B8</f>
        <v>3980.1</v>
      </c>
      <c r="C28" s="70">
        <f t="shared" ref="C28:H28" si="5">B33+C8</f>
        <v>3234.45</v>
      </c>
      <c r="D28" s="70">
        <f t="shared" si="5"/>
        <v>3389.42</v>
      </c>
      <c r="E28" s="70">
        <f t="shared" si="5"/>
        <v>3419.26</v>
      </c>
      <c r="F28" s="70">
        <f t="shared" si="5"/>
        <v>3759.4700000000003</v>
      </c>
      <c r="G28" s="70">
        <f t="shared" si="5"/>
        <v>3238.7200000000003</v>
      </c>
      <c r="H28" s="70">
        <f t="shared" si="5"/>
        <v>439.52000000000044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</row>
    <row r="29" spans="1:16" ht="12.75" customHeight="1" x14ac:dyDescent="0.2">
      <c r="A29" s="62" t="s">
        <v>38</v>
      </c>
      <c r="B29" s="70">
        <f t="shared" ref="B29:F29" si="6">B10</f>
        <v>36.1</v>
      </c>
      <c r="C29" s="70">
        <f t="shared" si="6"/>
        <v>27.74</v>
      </c>
      <c r="D29" s="70">
        <f t="shared" si="6"/>
        <v>56.21</v>
      </c>
      <c r="E29" s="70">
        <f t="shared" si="6"/>
        <v>24.97</v>
      </c>
      <c r="F29" s="70">
        <f t="shared" si="6"/>
        <v>35.119999999999997</v>
      </c>
      <c r="G29" s="70">
        <f>G10</f>
        <v>5.56</v>
      </c>
      <c r="H29" s="70">
        <f>H10</f>
        <v>0</v>
      </c>
      <c r="I29" s="70">
        <f>I13</f>
        <v>0</v>
      </c>
      <c r="J29" s="70">
        <f>J10</f>
        <v>0</v>
      </c>
      <c r="K29" s="70">
        <f t="shared" ref="K29:M29" si="7">K10</f>
        <v>0</v>
      </c>
      <c r="L29" s="70">
        <f t="shared" si="7"/>
        <v>0</v>
      </c>
      <c r="M29" s="70">
        <f t="shared" si="7"/>
        <v>0</v>
      </c>
    </row>
    <row r="30" spans="1:16" ht="12.75" customHeight="1" x14ac:dyDescent="0.2">
      <c r="A30" s="62" t="s">
        <v>39</v>
      </c>
      <c r="B30" s="70">
        <f t="shared" ref="B30:M30" si="8">B17</f>
        <v>345.65</v>
      </c>
      <c r="C30" s="70">
        <f t="shared" si="8"/>
        <v>351.24</v>
      </c>
      <c r="D30" s="70">
        <f t="shared" si="8"/>
        <v>145.13</v>
      </c>
      <c r="E30" s="70">
        <f t="shared" si="8"/>
        <v>144.91</v>
      </c>
      <c r="F30" s="70">
        <f t="shared" si="8"/>
        <v>976.31</v>
      </c>
      <c r="G30" s="70">
        <f t="shared" si="8"/>
        <v>445.96</v>
      </c>
      <c r="H30" s="70">
        <f t="shared" si="8"/>
        <v>0</v>
      </c>
      <c r="I30" s="70">
        <f t="shared" si="8"/>
        <v>0</v>
      </c>
      <c r="J30" s="70">
        <f t="shared" si="8"/>
        <v>0</v>
      </c>
      <c r="K30" s="70">
        <f t="shared" si="8"/>
        <v>0</v>
      </c>
      <c r="L30" s="70">
        <f t="shared" si="8"/>
        <v>0</v>
      </c>
      <c r="M30" s="70">
        <f t="shared" si="8"/>
        <v>0</v>
      </c>
    </row>
    <row r="31" spans="1:16" ht="12.75" customHeight="1" x14ac:dyDescent="0.2">
      <c r="A31" s="62" t="s">
        <v>40</v>
      </c>
      <c r="B31" s="70">
        <f t="shared" ref="B31:M32" si="9">B22</f>
        <v>1000</v>
      </c>
      <c r="C31" s="70">
        <f t="shared" si="9"/>
        <v>150</v>
      </c>
      <c r="D31" s="70">
        <f t="shared" si="9"/>
        <v>450</v>
      </c>
      <c r="E31" s="70">
        <f t="shared" si="9"/>
        <v>150</v>
      </c>
      <c r="F31" s="70">
        <f t="shared" si="9"/>
        <v>150</v>
      </c>
      <c r="G31" s="70">
        <f t="shared" si="9"/>
        <v>2353.2399999999998</v>
      </c>
      <c r="H31" s="70">
        <f t="shared" si="9"/>
        <v>0</v>
      </c>
      <c r="I31" s="70">
        <f t="shared" si="9"/>
        <v>0</v>
      </c>
      <c r="J31" s="70">
        <f t="shared" si="9"/>
        <v>0</v>
      </c>
      <c r="K31" s="70">
        <f t="shared" si="9"/>
        <v>0</v>
      </c>
      <c r="L31" s="70">
        <f t="shared" si="9"/>
        <v>0</v>
      </c>
      <c r="M31" s="70">
        <f t="shared" si="9"/>
        <v>0</v>
      </c>
      <c r="P31" s="118"/>
    </row>
    <row r="32" spans="1:16" ht="12.75" customHeight="1" x14ac:dyDescent="0.2">
      <c r="A32" s="62" t="s">
        <v>75</v>
      </c>
      <c r="B32" s="70">
        <f>B13</f>
        <v>0</v>
      </c>
      <c r="C32" s="70">
        <f t="shared" ref="C32:L32" si="10">C13</f>
        <v>0</v>
      </c>
      <c r="D32" s="70">
        <f t="shared" si="10"/>
        <v>0</v>
      </c>
      <c r="E32" s="70">
        <f t="shared" si="10"/>
        <v>0</v>
      </c>
      <c r="F32" s="70">
        <f t="shared" si="10"/>
        <v>0</v>
      </c>
      <c r="G32" s="70">
        <f t="shared" si="10"/>
        <v>0</v>
      </c>
      <c r="H32" s="70">
        <f t="shared" si="10"/>
        <v>0</v>
      </c>
      <c r="I32" s="70">
        <f t="shared" si="10"/>
        <v>0</v>
      </c>
      <c r="J32" s="70">
        <f t="shared" si="10"/>
        <v>0</v>
      </c>
      <c r="K32" s="70">
        <f t="shared" si="10"/>
        <v>0</v>
      </c>
      <c r="L32" s="70">
        <f t="shared" si="10"/>
        <v>0</v>
      </c>
      <c r="M32" s="70">
        <f t="shared" si="9"/>
        <v>0</v>
      </c>
    </row>
    <row r="33" spans="1:14" ht="12.75" customHeight="1" x14ac:dyDescent="0.2">
      <c r="A33" s="62" t="s">
        <v>41</v>
      </c>
      <c r="B33" s="73">
        <f>B28-B30-B31-B32</f>
        <v>2634.45</v>
      </c>
      <c r="C33" s="73">
        <f t="shared" ref="C33:I33" si="11">C28-C30-C31-C32</f>
        <v>2733.21</v>
      </c>
      <c r="D33" s="73">
        <f t="shared" si="11"/>
        <v>2794.29</v>
      </c>
      <c r="E33" s="73">
        <f t="shared" si="11"/>
        <v>3124.3500000000004</v>
      </c>
      <c r="F33" s="73">
        <f t="shared" si="11"/>
        <v>2633.1600000000003</v>
      </c>
      <c r="G33" s="73">
        <f t="shared" si="11"/>
        <v>439.52000000000044</v>
      </c>
      <c r="H33" s="73">
        <f t="shared" si="11"/>
        <v>439.52000000000044</v>
      </c>
      <c r="I33" s="73">
        <f t="shared" si="11"/>
        <v>0</v>
      </c>
      <c r="J33" s="70">
        <f>J28-J30-J31</f>
        <v>0</v>
      </c>
      <c r="K33" s="70">
        <f t="shared" ref="K33" si="12">K28+K29-K30-K31</f>
        <v>0</v>
      </c>
      <c r="L33" s="117">
        <f>L28+L29-L30-L31-L32</f>
        <v>0</v>
      </c>
      <c r="M33" s="70">
        <f>M28-M30-M31</f>
        <v>0</v>
      </c>
    </row>
    <row r="34" spans="1:14" ht="12.75" customHeight="1" x14ac:dyDescent="0.2"/>
    <row r="35" spans="1:14" ht="12.75" customHeight="1" x14ac:dyDescent="0.2">
      <c r="A35" s="74" t="s">
        <v>43</v>
      </c>
      <c r="B35" s="119">
        <f>'Fluxo de caixa 2025'!M35 + B25</f>
        <v>-1500</v>
      </c>
      <c r="C35" s="119">
        <f>B35+150</f>
        <v>-1350</v>
      </c>
      <c r="D35" s="119">
        <f t="shared" ref="D35:F35" si="13">C35+150</f>
        <v>-1200</v>
      </c>
      <c r="E35" s="119">
        <f t="shared" si="13"/>
        <v>-1050</v>
      </c>
      <c r="F35" s="119">
        <f t="shared" si="13"/>
        <v>-900</v>
      </c>
      <c r="G35" s="121"/>
      <c r="H35" s="119"/>
      <c r="I35" s="119"/>
      <c r="J35" s="119"/>
      <c r="K35" s="119"/>
      <c r="L35" s="119"/>
      <c r="M35" s="119"/>
    </row>
    <row r="36" spans="1:14" ht="12.75" customHeight="1" x14ac:dyDescent="0.2">
      <c r="D36" s="118"/>
      <c r="I36" s="118"/>
    </row>
    <row r="37" spans="1:14" ht="12.75" customHeight="1" x14ac:dyDescent="0.2">
      <c r="N37" s="118"/>
    </row>
    <row r="38" spans="1:14" ht="12.75" customHeight="1" x14ac:dyDescent="0.2">
      <c r="E38" s="116"/>
    </row>
    <row r="39" spans="1:14" ht="12.75" customHeight="1" x14ac:dyDescent="0.2">
      <c r="F39" s="118"/>
      <c r="N39" s="116"/>
    </row>
    <row r="40" spans="1:14" ht="12.75" customHeight="1" x14ac:dyDescent="0.2"/>
    <row r="41" spans="1:14" ht="12.75" customHeight="1" x14ac:dyDescent="0.2">
      <c r="J41" s="118"/>
    </row>
    <row r="42" spans="1:14" ht="12.75" customHeight="1" x14ac:dyDescent="0.2">
      <c r="G42" s="118"/>
    </row>
    <row r="43" spans="1:14" ht="12.75" customHeight="1" x14ac:dyDescent="0.2"/>
    <row r="44" spans="1:14" ht="12.75" customHeight="1" x14ac:dyDescent="0.2"/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</sheetData>
  <mergeCells count="8">
    <mergeCell ref="A1:A4"/>
    <mergeCell ref="B1:C1"/>
    <mergeCell ref="D1:H1"/>
    <mergeCell ref="B2:C2"/>
    <mergeCell ref="D2:F2"/>
    <mergeCell ref="B3:C3"/>
    <mergeCell ref="D3:E3"/>
    <mergeCell ref="G3:H3"/>
  </mergeCells>
  <hyperlinks>
    <hyperlink ref="D2" r:id="rId1" xr:uid="{0BBF6038-DAD6-4ACD-B60D-5B091CBA3D12}"/>
  </hyperlinks>
  <pageMargins left="0.511811024" right="0.511811024" top="0.78740157499999996" bottom="0.78740157499999996" header="0" footer="0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EBC0A"/>
    <outlinePr summaryBelow="0" summaryRight="0"/>
  </sheetPr>
  <dimension ref="A1:AM1000"/>
  <sheetViews>
    <sheetView topLeftCell="N1" workbookViewId="0">
      <selection activeCell="AE5" sqref="AE5"/>
    </sheetView>
  </sheetViews>
  <sheetFormatPr defaultColWidth="12.5703125" defaultRowHeight="15" customHeight="1" x14ac:dyDescent="0.2"/>
  <cols>
    <col min="1" max="1" width="25.42578125" customWidth="1"/>
    <col min="2" max="2" width="12.5703125" customWidth="1"/>
    <col min="3" max="3" width="13.7109375" customWidth="1"/>
    <col min="4" max="4" width="13.140625" customWidth="1"/>
    <col min="5" max="5" width="12.85546875" customWidth="1"/>
    <col min="6" max="6" width="12.42578125" customWidth="1"/>
    <col min="7" max="7" width="12" customWidth="1"/>
    <col min="8" max="8" width="11.7109375" customWidth="1"/>
    <col min="9" max="9" width="12.42578125" customWidth="1"/>
    <col min="10" max="11" width="14.42578125" customWidth="1"/>
    <col min="12" max="12" width="15.28515625" customWidth="1"/>
    <col min="13" max="14" width="14.42578125" customWidth="1"/>
  </cols>
  <sheetData>
    <row r="1" spans="1:39" ht="21.75" customHeight="1" x14ac:dyDescent="0.25">
      <c r="A1" s="152" t="s">
        <v>44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79"/>
    </row>
    <row r="2" spans="1:39" ht="21" customHeight="1" x14ac:dyDescent="0.25">
      <c r="A2" s="78" t="s">
        <v>45</v>
      </c>
      <c r="B2" s="80">
        <v>4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79"/>
    </row>
    <row r="3" spans="1:39" ht="15" customHeight="1" x14ac:dyDescent="0.25">
      <c r="A3" s="81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</row>
    <row r="4" spans="1:39" ht="22.5" customHeight="1" x14ac:dyDescent="0.25">
      <c r="A4" s="78" t="s">
        <v>46</v>
      </c>
      <c r="B4" s="83" t="str">
        <f>CONCATENATE("Janeiro/",'Fluxo de caixa 2024'!$H$2)</f>
        <v>Janeiro/2024</v>
      </c>
      <c r="C4" s="83" t="str">
        <f>CONCATENATE("Fevereiro/",'Fluxo de caixa 2024'!$H$2)</f>
        <v>Fevereiro/2024</v>
      </c>
      <c r="D4" s="83" t="str">
        <f>CONCATENATE("Março/",'Fluxo de caixa 2024'!$H$2)</f>
        <v>Março/2024</v>
      </c>
      <c r="E4" s="83" t="str">
        <f>CONCATENATE("Abril/",'Fluxo de caixa 2024'!$H$2)</f>
        <v>Abril/2024</v>
      </c>
      <c r="F4" s="83" t="str">
        <f>CONCATENATE("Maio/",'Fluxo de caixa 2024'!$H$2)</f>
        <v>Maio/2024</v>
      </c>
      <c r="G4" s="83" t="str">
        <f>CONCATENATE("Junho/",'Fluxo de caixa 2024'!$H$2)</f>
        <v>Junho/2024</v>
      </c>
      <c r="H4" s="83" t="str">
        <f>CONCATENATE("Julho/",'Fluxo de caixa 2024'!$H$2)</f>
        <v>Julho/2024</v>
      </c>
      <c r="I4" s="83" t="str">
        <f>CONCATENATE("Agosto/",'Fluxo de caixa 2024'!$H$2)</f>
        <v>Agosto/2024</v>
      </c>
      <c r="J4" s="83" t="str">
        <f>CONCATENATE("Setembro/",'Fluxo de caixa 2024'!$H$2)</f>
        <v>Setembro/2024</v>
      </c>
      <c r="K4" s="83" t="str">
        <f>CONCATENATE("Outubro/",'Fluxo de caixa 2024'!$H$2)</f>
        <v>Outubro/2024</v>
      </c>
      <c r="L4" s="83" t="str">
        <f>CONCATENATE("Novembro/",'Fluxo de caixa 2024'!$H$2)</f>
        <v>Novembro/2024</v>
      </c>
      <c r="M4" s="83" t="str">
        <f>CONCATENATE("Dezembro/",'Fluxo de caixa 2024'!$H$2)</f>
        <v>Dezembro/2024</v>
      </c>
      <c r="N4" s="84">
        <v>45658</v>
      </c>
      <c r="O4" s="84">
        <v>45689</v>
      </c>
      <c r="P4" s="84">
        <v>45717</v>
      </c>
      <c r="Q4" s="84">
        <v>45748</v>
      </c>
      <c r="R4" s="84">
        <v>45778</v>
      </c>
      <c r="S4" s="84">
        <v>45809</v>
      </c>
      <c r="T4" s="84">
        <v>45839</v>
      </c>
      <c r="U4" s="84">
        <v>45870</v>
      </c>
      <c r="V4" s="84">
        <v>45901</v>
      </c>
      <c r="W4" s="84">
        <v>45931</v>
      </c>
      <c r="X4" s="84">
        <v>45962</v>
      </c>
      <c r="Y4" s="84">
        <v>45992</v>
      </c>
      <c r="Z4" s="84">
        <v>46023</v>
      </c>
      <c r="AA4" s="84">
        <v>46054</v>
      </c>
      <c r="AB4" s="84">
        <v>46082</v>
      </c>
      <c r="AC4" s="84">
        <v>46113</v>
      </c>
      <c r="AD4" s="84">
        <v>46143</v>
      </c>
      <c r="AE4" s="84">
        <v>46174</v>
      </c>
    </row>
    <row r="5" spans="1:39" ht="19.5" customHeight="1" x14ac:dyDescent="0.25">
      <c r="A5" s="81">
        <v>1</v>
      </c>
      <c r="B5" s="85">
        <v>0</v>
      </c>
      <c r="C5" s="85">
        <v>150</v>
      </c>
      <c r="D5" s="85">
        <v>150</v>
      </c>
      <c r="E5" s="85">
        <v>150</v>
      </c>
      <c r="F5" s="85">
        <v>150</v>
      </c>
      <c r="G5" s="85">
        <v>150</v>
      </c>
      <c r="H5" s="85">
        <v>150</v>
      </c>
      <c r="I5" s="85">
        <v>150</v>
      </c>
      <c r="J5" s="85">
        <v>150</v>
      </c>
      <c r="K5" s="85">
        <v>150</v>
      </c>
      <c r="L5" s="85">
        <v>150</v>
      </c>
      <c r="M5" s="85">
        <v>150</v>
      </c>
      <c r="N5" s="86">
        <v>150</v>
      </c>
      <c r="O5" s="87">
        <v>150</v>
      </c>
      <c r="P5" s="88">
        <v>150</v>
      </c>
      <c r="Q5" s="88">
        <v>150</v>
      </c>
      <c r="R5" s="88">
        <v>150</v>
      </c>
      <c r="S5" s="88">
        <v>150</v>
      </c>
      <c r="T5" s="88">
        <v>150</v>
      </c>
      <c r="U5" s="88">
        <v>150</v>
      </c>
      <c r="V5" s="89">
        <v>150</v>
      </c>
      <c r="W5" s="89">
        <v>150</v>
      </c>
      <c r="X5" s="89">
        <v>150</v>
      </c>
      <c r="Y5" s="89">
        <v>150</v>
      </c>
      <c r="Z5" s="120">
        <v>150</v>
      </c>
      <c r="AA5" s="120">
        <v>150</v>
      </c>
      <c r="AB5" s="120">
        <v>150</v>
      </c>
      <c r="AC5" s="120">
        <v>150</v>
      </c>
      <c r="AD5" s="120">
        <v>150</v>
      </c>
      <c r="AE5" s="120">
        <v>0</v>
      </c>
    </row>
    <row r="6" spans="1:39" ht="19.5" customHeight="1" x14ac:dyDescent="0.25">
      <c r="A6" s="81">
        <v>2</v>
      </c>
      <c r="B6" s="85">
        <v>0</v>
      </c>
      <c r="C6" s="85">
        <v>150</v>
      </c>
      <c r="D6" s="85">
        <v>150</v>
      </c>
      <c r="E6" s="85">
        <v>150</v>
      </c>
      <c r="F6" s="85">
        <v>150</v>
      </c>
      <c r="G6" s="85">
        <v>150</v>
      </c>
      <c r="H6" s="85">
        <v>150</v>
      </c>
      <c r="I6" s="85">
        <v>150</v>
      </c>
      <c r="J6" s="85">
        <v>150</v>
      </c>
      <c r="K6" s="85">
        <v>150</v>
      </c>
      <c r="L6" s="85">
        <v>150</v>
      </c>
      <c r="M6" s="85">
        <v>150</v>
      </c>
      <c r="N6" s="86">
        <v>150</v>
      </c>
      <c r="O6" s="87">
        <v>150</v>
      </c>
      <c r="P6" s="88">
        <v>150</v>
      </c>
      <c r="Q6" s="88">
        <v>150</v>
      </c>
      <c r="R6" s="88">
        <v>150</v>
      </c>
      <c r="S6" s="88">
        <v>150</v>
      </c>
      <c r="T6" s="88">
        <v>150</v>
      </c>
      <c r="U6" s="88">
        <v>150</v>
      </c>
      <c r="V6" s="89">
        <v>150</v>
      </c>
      <c r="W6" s="89">
        <v>150</v>
      </c>
      <c r="X6" s="89">
        <v>150</v>
      </c>
      <c r="Y6" s="89">
        <v>150</v>
      </c>
      <c r="Z6" s="89">
        <v>150</v>
      </c>
      <c r="AA6" s="89">
        <v>150</v>
      </c>
      <c r="AB6" s="89">
        <v>150</v>
      </c>
      <c r="AC6" s="89">
        <v>150</v>
      </c>
      <c r="AD6" s="89">
        <v>150</v>
      </c>
      <c r="AE6" s="89">
        <v>200</v>
      </c>
    </row>
    <row r="7" spans="1:39" ht="19.5" customHeight="1" x14ac:dyDescent="0.25">
      <c r="A7" s="81">
        <v>3</v>
      </c>
      <c r="B7" s="85">
        <v>0</v>
      </c>
      <c r="C7" s="85">
        <v>150</v>
      </c>
      <c r="D7" s="85">
        <v>150</v>
      </c>
      <c r="E7" s="85">
        <v>150</v>
      </c>
      <c r="F7" s="85">
        <v>150</v>
      </c>
      <c r="G7" s="85">
        <v>150</v>
      </c>
      <c r="H7" s="85">
        <v>150</v>
      </c>
      <c r="I7" s="85">
        <v>150</v>
      </c>
      <c r="J7" s="85">
        <v>150</v>
      </c>
      <c r="K7" s="85">
        <v>150</v>
      </c>
      <c r="L7" s="85">
        <v>150</v>
      </c>
      <c r="M7" s="85">
        <v>150</v>
      </c>
      <c r="N7" s="86">
        <v>150</v>
      </c>
      <c r="O7" s="90">
        <v>150</v>
      </c>
      <c r="P7" s="88">
        <v>150</v>
      </c>
      <c r="Q7" s="88">
        <v>150</v>
      </c>
      <c r="R7" s="88">
        <v>150</v>
      </c>
      <c r="S7" s="88">
        <v>150</v>
      </c>
      <c r="T7" s="88">
        <v>150</v>
      </c>
      <c r="U7" s="88">
        <v>150</v>
      </c>
      <c r="V7" s="89">
        <v>150</v>
      </c>
      <c r="W7" s="89">
        <v>150</v>
      </c>
      <c r="X7" s="89">
        <v>150</v>
      </c>
      <c r="Y7" s="89">
        <v>150</v>
      </c>
      <c r="Z7" s="89">
        <v>150</v>
      </c>
      <c r="AA7" s="89">
        <v>150</v>
      </c>
      <c r="AB7" s="89">
        <v>150</v>
      </c>
      <c r="AC7" s="89">
        <v>150</v>
      </c>
      <c r="AD7" s="89">
        <v>150</v>
      </c>
      <c r="AE7" s="89">
        <v>200</v>
      </c>
    </row>
    <row r="8" spans="1:39" ht="19.5" customHeight="1" x14ac:dyDescent="0.25">
      <c r="A8" s="81">
        <v>4</v>
      </c>
      <c r="B8" s="85">
        <v>0</v>
      </c>
      <c r="C8" s="85">
        <v>150</v>
      </c>
      <c r="D8" s="85">
        <v>150</v>
      </c>
      <c r="E8" s="85">
        <v>150</v>
      </c>
      <c r="F8" s="85">
        <v>150</v>
      </c>
      <c r="G8" s="85">
        <v>150</v>
      </c>
      <c r="H8" s="85">
        <v>150</v>
      </c>
      <c r="I8" s="85">
        <v>150</v>
      </c>
      <c r="J8" s="85">
        <v>150</v>
      </c>
      <c r="K8" s="85">
        <v>150</v>
      </c>
      <c r="L8" s="85">
        <v>150</v>
      </c>
      <c r="M8" s="85">
        <v>150</v>
      </c>
      <c r="N8" s="86">
        <v>150</v>
      </c>
      <c r="O8" s="87">
        <v>150</v>
      </c>
      <c r="P8" s="88">
        <v>150</v>
      </c>
      <c r="Q8" s="88">
        <v>150</v>
      </c>
      <c r="R8" s="88">
        <v>150</v>
      </c>
      <c r="S8" s="88">
        <v>150</v>
      </c>
      <c r="T8" s="88">
        <v>150</v>
      </c>
      <c r="U8" s="88">
        <v>150</v>
      </c>
      <c r="V8" s="89">
        <v>150</v>
      </c>
      <c r="W8" s="89">
        <v>150</v>
      </c>
      <c r="X8" s="89">
        <v>150</v>
      </c>
      <c r="Y8" s="89">
        <v>150</v>
      </c>
      <c r="Z8" s="89">
        <v>150</v>
      </c>
      <c r="AA8" s="89">
        <v>150</v>
      </c>
      <c r="AB8" s="89">
        <v>150</v>
      </c>
      <c r="AC8" s="89">
        <v>150</v>
      </c>
      <c r="AD8" s="89">
        <v>150</v>
      </c>
      <c r="AE8" s="89">
        <v>200</v>
      </c>
    </row>
    <row r="9" spans="1:39" ht="15" customHeight="1" x14ac:dyDescent="0.25">
      <c r="A9" s="153"/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5"/>
      <c r="N9" s="153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5"/>
      <c r="AA9" s="153"/>
      <c r="AB9" s="154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5"/>
    </row>
    <row r="10" spans="1:39" ht="15" customHeight="1" x14ac:dyDescent="0.25">
      <c r="A10" s="78" t="s">
        <v>47</v>
      </c>
      <c r="B10" s="91">
        <f t="shared" ref="B10:Z10" si="0">SUM(B5:B8)</f>
        <v>0</v>
      </c>
      <c r="C10" s="91">
        <f t="shared" si="0"/>
        <v>600</v>
      </c>
      <c r="D10" s="91">
        <f t="shared" si="0"/>
        <v>600</v>
      </c>
      <c r="E10" s="91">
        <f t="shared" si="0"/>
        <v>600</v>
      </c>
      <c r="F10" s="91">
        <f t="shared" si="0"/>
        <v>600</v>
      </c>
      <c r="G10" s="91">
        <f t="shared" si="0"/>
        <v>600</v>
      </c>
      <c r="H10" s="91">
        <f t="shared" si="0"/>
        <v>600</v>
      </c>
      <c r="I10" s="91">
        <f t="shared" si="0"/>
        <v>600</v>
      </c>
      <c r="J10" s="91">
        <f t="shared" si="0"/>
        <v>600</v>
      </c>
      <c r="K10" s="91">
        <f t="shared" si="0"/>
        <v>600</v>
      </c>
      <c r="L10" s="91">
        <f t="shared" si="0"/>
        <v>600</v>
      </c>
      <c r="M10" s="91">
        <f t="shared" si="0"/>
        <v>600</v>
      </c>
      <c r="N10" s="91">
        <f t="shared" si="0"/>
        <v>600</v>
      </c>
      <c r="O10" s="91">
        <f t="shared" si="0"/>
        <v>600</v>
      </c>
      <c r="P10" s="91">
        <f t="shared" si="0"/>
        <v>600</v>
      </c>
      <c r="Q10" s="91">
        <f t="shared" si="0"/>
        <v>600</v>
      </c>
      <c r="R10" s="91">
        <f t="shared" si="0"/>
        <v>600</v>
      </c>
      <c r="S10" s="91">
        <f t="shared" si="0"/>
        <v>600</v>
      </c>
      <c r="T10" s="91">
        <f t="shared" si="0"/>
        <v>600</v>
      </c>
      <c r="U10" s="91">
        <f t="shared" si="0"/>
        <v>600</v>
      </c>
      <c r="V10" s="91">
        <f t="shared" si="0"/>
        <v>600</v>
      </c>
      <c r="W10" s="91">
        <f t="shared" si="0"/>
        <v>600</v>
      </c>
      <c r="X10" s="91">
        <f t="shared" si="0"/>
        <v>600</v>
      </c>
      <c r="Y10" s="91">
        <f t="shared" si="0"/>
        <v>600</v>
      </c>
      <c r="Z10" s="91">
        <f t="shared" si="0"/>
        <v>600</v>
      </c>
      <c r="AA10" s="91">
        <f t="shared" ref="AA10:AB10" si="1">SUM(AA5:AA8)</f>
        <v>600</v>
      </c>
      <c r="AB10" s="91">
        <f t="shared" si="1"/>
        <v>600</v>
      </c>
      <c r="AC10" s="91">
        <f t="shared" ref="AC10:AE10" si="2">SUM(AC5:AC8)</f>
        <v>600</v>
      </c>
      <c r="AD10" s="91">
        <f t="shared" si="2"/>
        <v>600</v>
      </c>
      <c r="AE10" s="91">
        <f t="shared" si="2"/>
        <v>600</v>
      </c>
    </row>
    <row r="11" spans="1:39" ht="15" customHeight="1" x14ac:dyDescent="0.25">
      <c r="A11" s="79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</row>
    <row r="12" spans="1:39" ht="15" customHeight="1" x14ac:dyDescent="0.25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</row>
    <row r="13" spans="1:39" ht="15" customHeight="1" x14ac:dyDescent="0.25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</row>
    <row r="14" spans="1:39" ht="15" customHeight="1" x14ac:dyDescent="0.25">
      <c r="A14" s="79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</row>
    <row r="15" spans="1:39" ht="15" customHeight="1" x14ac:dyDescent="0.25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</row>
    <row r="16" spans="1:39" ht="15" customHeight="1" x14ac:dyDescent="0.25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</row>
    <row r="17" spans="1:14" ht="15" customHeight="1" x14ac:dyDescent="0.25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</row>
    <row r="18" spans="1:14" ht="15" customHeight="1" x14ac:dyDescent="0.25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</row>
    <row r="19" spans="1:14" ht="15" customHeight="1" x14ac:dyDescent="0.25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</row>
    <row r="20" spans="1:14" ht="15" customHeight="1" x14ac:dyDescent="0.25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</row>
    <row r="21" spans="1:14" ht="15.75" customHeight="1" x14ac:dyDescent="0.25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</row>
    <row r="22" spans="1:14" ht="15.75" customHeight="1" x14ac:dyDescent="0.25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</row>
    <row r="23" spans="1:14" ht="15.75" customHeight="1" x14ac:dyDescent="0.25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</row>
    <row r="24" spans="1:14" ht="15.75" customHeight="1" x14ac:dyDescent="0.25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</row>
    <row r="25" spans="1:14" ht="15.75" customHeight="1" x14ac:dyDescent="0.25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</row>
    <row r="26" spans="1:14" ht="15.75" customHeight="1" x14ac:dyDescent="0.25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</row>
    <row r="27" spans="1:14" ht="15.75" customHeight="1" x14ac:dyDescent="0.25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</row>
    <row r="28" spans="1:14" ht="15.75" customHeight="1" x14ac:dyDescent="0.25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</row>
    <row r="29" spans="1:14" ht="15.75" customHeight="1" x14ac:dyDescent="0.25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</row>
    <row r="30" spans="1:14" ht="15.75" customHeight="1" x14ac:dyDescent="0.25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</row>
    <row r="31" spans="1:14" ht="15.75" customHeight="1" x14ac:dyDescent="0.25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</row>
    <row r="32" spans="1:14" ht="15.75" customHeight="1" x14ac:dyDescent="0.25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</row>
    <row r="33" spans="1:14" ht="15.75" customHeight="1" x14ac:dyDescent="0.25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</row>
    <row r="34" spans="1:14" ht="15.75" customHeight="1" x14ac:dyDescent="0.25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</row>
    <row r="35" spans="1:14" ht="15.75" customHeight="1" x14ac:dyDescent="0.25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</row>
    <row r="36" spans="1:14" ht="15.75" customHeight="1" x14ac:dyDescent="0.25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</row>
    <row r="37" spans="1:14" ht="15.75" customHeight="1" x14ac:dyDescent="0.25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</row>
    <row r="38" spans="1:14" ht="15.75" customHeight="1" x14ac:dyDescent="0.25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</row>
    <row r="39" spans="1:14" ht="15.75" customHeight="1" x14ac:dyDescent="0.25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</row>
    <row r="40" spans="1:14" ht="15.75" customHeight="1" x14ac:dyDescent="0.25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</row>
    <row r="41" spans="1:14" ht="15.75" customHeight="1" x14ac:dyDescent="0.25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</row>
    <row r="42" spans="1:14" ht="15.75" customHeight="1" x14ac:dyDescent="0.25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</row>
    <row r="43" spans="1:14" ht="15.75" customHeight="1" x14ac:dyDescent="0.25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</row>
    <row r="44" spans="1:14" ht="15.75" customHeight="1" x14ac:dyDescent="0.25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</row>
    <row r="45" spans="1:14" ht="15.75" customHeight="1" x14ac:dyDescent="0.2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</row>
    <row r="46" spans="1:14" ht="15.75" customHeight="1" x14ac:dyDescent="0.25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</row>
    <row r="47" spans="1:14" ht="15.75" customHeight="1" x14ac:dyDescent="0.25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</row>
    <row r="48" spans="1:14" ht="15.75" customHeight="1" x14ac:dyDescent="0.25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</row>
    <row r="49" spans="1:14" ht="15.75" customHeight="1" x14ac:dyDescent="0.25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</row>
    <row r="50" spans="1:14" ht="15.75" customHeight="1" x14ac:dyDescent="0.25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</row>
    <row r="51" spans="1:14" ht="15.75" customHeight="1" x14ac:dyDescent="0.25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</row>
    <row r="52" spans="1:14" ht="15.75" customHeight="1" x14ac:dyDescent="0.25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</row>
    <row r="53" spans="1:14" ht="15.75" customHeight="1" x14ac:dyDescent="0.25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</row>
    <row r="54" spans="1:14" ht="15.75" customHeight="1" x14ac:dyDescent="0.25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</row>
    <row r="55" spans="1:14" ht="15.75" customHeight="1" x14ac:dyDescent="0.25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</row>
    <row r="56" spans="1:14" ht="15.75" customHeight="1" x14ac:dyDescent="0.25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</row>
    <row r="57" spans="1:14" ht="15.75" customHeight="1" x14ac:dyDescent="0.25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</row>
    <row r="58" spans="1:14" ht="15.75" customHeight="1" x14ac:dyDescent="0.25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</row>
    <row r="59" spans="1:14" ht="15.75" customHeight="1" x14ac:dyDescent="0.25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</row>
    <row r="60" spans="1:14" ht="15.75" customHeight="1" x14ac:dyDescent="0.25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</row>
    <row r="61" spans="1:14" ht="15.75" customHeight="1" x14ac:dyDescent="0.25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</row>
    <row r="62" spans="1:14" ht="15.75" customHeight="1" x14ac:dyDescent="0.25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</row>
    <row r="63" spans="1:14" ht="15.75" customHeight="1" x14ac:dyDescent="0.25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</row>
    <row r="64" spans="1:14" ht="15.75" customHeight="1" x14ac:dyDescent="0.25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</row>
    <row r="65" spans="1:14" ht="15.75" customHeight="1" x14ac:dyDescent="0.2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</row>
    <row r="66" spans="1:14" ht="15.75" customHeight="1" x14ac:dyDescent="0.25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</row>
    <row r="67" spans="1:14" ht="15.75" customHeight="1" x14ac:dyDescent="0.25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</row>
    <row r="68" spans="1:14" ht="15.75" customHeight="1" x14ac:dyDescent="0.25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</row>
    <row r="69" spans="1:14" ht="15.7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</row>
    <row r="70" spans="1:14" ht="15.75" customHeight="1" x14ac:dyDescent="0.25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</row>
    <row r="71" spans="1:14" ht="15.75" customHeight="1" x14ac:dyDescent="0.25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</row>
    <row r="72" spans="1:14" ht="15.75" customHeight="1" x14ac:dyDescent="0.25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</row>
    <row r="73" spans="1:14" ht="15.75" customHeight="1" x14ac:dyDescent="0.25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</row>
    <row r="74" spans="1:14" ht="15.75" customHeight="1" x14ac:dyDescent="0.25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</row>
    <row r="75" spans="1:14" ht="15.75" customHeight="1" x14ac:dyDescent="0.2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</row>
    <row r="76" spans="1:14" ht="15.75" customHeight="1" x14ac:dyDescent="0.25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</row>
    <row r="77" spans="1:14" ht="15.75" customHeight="1" x14ac:dyDescent="0.25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</row>
    <row r="78" spans="1:14" ht="15.75" customHeight="1" x14ac:dyDescent="0.25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</row>
    <row r="79" spans="1:14" ht="15.75" customHeight="1" x14ac:dyDescent="0.25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</row>
    <row r="80" spans="1:14" ht="15.75" customHeight="1" x14ac:dyDescent="0.25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</row>
    <row r="81" spans="1:14" ht="15.75" customHeight="1" x14ac:dyDescent="0.25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</row>
    <row r="82" spans="1:14" ht="15.75" customHeight="1" x14ac:dyDescent="0.25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</row>
    <row r="83" spans="1:14" ht="15.75" customHeight="1" x14ac:dyDescent="0.25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</row>
    <row r="84" spans="1:14" ht="15.75" customHeight="1" x14ac:dyDescent="0.25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</row>
    <row r="85" spans="1:14" ht="15.75" customHeight="1" x14ac:dyDescent="0.2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</row>
    <row r="86" spans="1:14" ht="15.75" customHeight="1" x14ac:dyDescent="0.25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</row>
    <row r="87" spans="1:14" ht="15.75" customHeight="1" x14ac:dyDescent="0.25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</row>
    <row r="88" spans="1:14" ht="15.75" customHeight="1" x14ac:dyDescent="0.25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</row>
    <row r="89" spans="1:14" ht="15.75" customHeight="1" x14ac:dyDescent="0.25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</row>
    <row r="90" spans="1:14" ht="15.75" customHeight="1" x14ac:dyDescent="0.25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</row>
    <row r="91" spans="1:14" ht="15.75" customHeight="1" x14ac:dyDescent="0.25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</row>
    <row r="92" spans="1:14" ht="15.75" customHeight="1" x14ac:dyDescent="0.25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</row>
    <row r="93" spans="1:14" ht="15.75" customHeight="1" x14ac:dyDescent="0.25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</row>
    <row r="94" spans="1:14" ht="15.75" customHeight="1" x14ac:dyDescent="0.25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</row>
    <row r="95" spans="1:14" ht="15.75" customHeight="1" x14ac:dyDescent="0.2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</row>
    <row r="96" spans="1:14" ht="15.75" customHeight="1" x14ac:dyDescent="0.25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</row>
    <row r="97" spans="1:14" ht="15.75" customHeight="1" x14ac:dyDescent="0.25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</row>
    <row r="98" spans="1:14" ht="15.75" customHeight="1" x14ac:dyDescent="0.25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</row>
    <row r="99" spans="1:14" ht="15.75" customHeight="1" x14ac:dyDescent="0.25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</row>
    <row r="100" spans="1:14" ht="15.75" customHeight="1" x14ac:dyDescent="0.25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</row>
    <row r="101" spans="1:14" ht="15.75" customHeight="1" x14ac:dyDescent="0.25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</row>
    <row r="102" spans="1:14" ht="15.75" customHeight="1" x14ac:dyDescent="0.25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</row>
    <row r="103" spans="1:14" ht="15.75" customHeight="1" x14ac:dyDescent="0.25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</row>
    <row r="104" spans="1:14" ht="15.75" customHeight="1" x14ac:dyDescent="0.25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</row>
    <row r="105" spans="1:14" ht="15.75" customHeight="1" x14ac:dyDescent="0.25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</row>
    <row r="106" spans="1:14" ht="15.75" customHeight="1" x14ac:dyDescent="0.25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</row>
    <row r="107" spans="1:14" ht="15.75" customHeight="1" x14ac:dyDescent="0.25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</row>
    <row r="108" spans="1:14" ht="15.75" customHeight="1" x14ac:dyDescent="0.25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</row>
    <row r="109" spans="1:14" ht="15.75" customHeight="1" x14ac:dyDescent="0.25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</row>
    <row r="110" spans="1:14" ht="15.75" customHeight="1" x14ac:dyDescent="0.25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</row>
    <row r="111" spans="1:14" ht="15.75" customHeight="1" x14ac:dyDescent="0.25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</row>
    <row r="112" spans="1:14" ht="15.75" customHeight="1" x14ac:dyDescent="0.25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</row>
    <row r="113" spans="1:14" ht="15.75" customHeight="1" x14ac:dyDescent="0.25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</row>
    <row r="114" spans="1:14" ht="15.75" customHeight="1" x14ac:dyDescent="0.25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</row>
    <row r="115" spans="1:14" ht="15.75" customHeight="1" x14ac:dyDescent="0.2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</row>
    <row r="116" spans="1:14" ht="15.75" customHeight="1" x14ac:dyDescent="0.25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</row>
    <row r="117" spans="1:14" ht="15.75" customHeight="1" x14ac:dyDescent="0.25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</row>
    <row r="118" spans="1:14" ht="15.75" customHeight="1" x14ac:dyDescent="0.25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</row>
    <row r="119" spans="1:14" ht="15.75" customHeight="1" x14ac:dyDescent="0.25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</row>
    <row r="120" spans="1:14" ht="15.75" customHeight="1" x14ac:dyDescent="0.25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</row>
    <row r="121" spans="1:14" ht="15.75" customHeight="1" x14ac:dyDescent="0.25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</row>
    <row r="122" spans="1:14" ht="15.75" customHeight="1" x14ac:dyDescent="0.25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</row>
    <row r="123" spans="1:14" ht="15.75" customHeight="1" x14ac:dyDescent="0.25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</row>
    <row r="124" spans="1:14" ht="15.75" customHeight="1" x14ac:dyDescent="0.25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</row>
    <row r="125" spans="1:14" ht="15.75" customHeight="1" x14ac:dyDescent="0.2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</row>
    <row r="126" spans="1:14" ht="15.75" customHeight="1" x14ac:dyDescent="0.25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</row>
    <row r="127" spans="1:14" ht="15.75" customHeight="1" x14ac:dyDescent="0.25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</row>
    <row r="128" spans="1:14" ht="15.75" customHeight="1" x14ac:dyDescent="0.25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</row>
    <row r="129" spans="1:14" ht="15.75" customHeight="1" x14ac:dyDescent="0.25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</row>
    <row r="130" spans="1:14" ht="15.75" customHeight="1" x14ac:dyDescent="0.25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</row>
    <row r="131" spans="1:14" ht="15.75" customHeight="1" x14ac:dyDescent="0.25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</row>
    <row r="132" spans="1:14" ht="15.75" customHeight="1" x14ac:dyDescent="0.25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</row>
    <row r="133" spans="1:14" ht="15.75" customHeight="1" x14ac:dyDescent="0.25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</row>
    <row r="134" spans="1:14" ht="15.75" customHeight="1" x14ac:dyDescent="0.25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</row>
    <row r="135" spans="1:14" ht="15.75" customHeight="1" x14ac:dyDescent="0.2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</row>
    <row r="136" spans="1:14" ht="15.75" customHeight="1" x14ac:dyDescent="0.25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</row>
    <row r="137" spans="1:14" ht="15.75" customHeight="1" x14ac:dyDescent="0.25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</row>
    <row r="138" spans="1:14" ht="15.75" customHeight="1" x14ac:dyDescent="0.25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</row>
    <row r="139" spans="1:14" ht="15.75" customHeight="1" x14ac:dyDescent="0.25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</row>
    <row r="140" spans="1:14" ht="15.75" customHeight="1" x14ac:dyDescent="0.25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</row>
    <row r="141" spans="1:14" ht="15.75" customHeight="1" x14ac:dyDescent="0.25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</row>
    <row r="142" spans="1:14" ht="15.75" customHeight="1" x14ac:dyDescent="0.25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</row>
    <row r="143" spans="1:14" ht="15.75" customHeight="1" x14ac:dyDescent="0.25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</row>
    <row r="144" spans="1:14" ht="15.75" customHeight="1" x14ac:dyDescent="0.25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</row>
    <row r="145" spans="1:14" ht="15.75" customHeight="1" x14ac:dyDescent="0.2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</row>
    <row r="146" spans="1:14" ht="15.75" customHeight="1" x14ac:dyDescent="0.25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</row>
    <row r="147" spans="1:14" ht="15.75" customHeight="1" x14ac:dyDescent="0.25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</row>
    <row r="148" spans="1:14" ht="15.75" customHeight="1" x14ac:dyDescent="0.25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</row>
    <row r="149" spans="1:14" ht="15.75" customHeight="1" x14ac:dyDescent="0.25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</row>
    <row r="150" spans="1:14" ht="15.75" customHeight="1" x14ac:dyDescent="0.25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</row>
    <row r="151" spans="1:14" ht="15.75" customHeight="1" x14ac:dyDescent="0.25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</row>
    <row r="152" spans="1:14" ht="15.75" customHeight="1" x14ac:dyDescent="0.25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</row>
    <row r="153" spans="1:14" ht="15.75" customHeight="1" x14ac:dyDescent="0.25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</row>
    <row r="154" spans="1:14" ht="15.75" customHeight="1" x14ac:dyDescent="0.25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</row>
    <row r="155" spans="1:14" ht="15.75" customHeight="1" x14ac:dyDescent="0.2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</row>
    <row r="156" spans="1:14" ht="15.75" customHeight="1" x14ac:dyDescent="0.25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</row>
    <row r="157" spans="1:14" ht="15.75" customHeight="1" x14ac:dyDescent="0.25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</row>
    <row r="158" spans="1:14" ht="15.75" customHeight="1" x14ac:dyDescent="0.25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</row>
    <row r="159" spans="1:14" ht="15.75" customHeight="1" x14ac:dyDescent="0.25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</row>
    <row r="160" spans="1:14" ht="15.75" customHeight="1" x14ac:dyDescent="0.25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</row>
    <row r="161" spans="1:14" ht="15.75" customHeight="1" x14ac:dyDescent="0.25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</row>
    <row r="162" spans="1:14" ht="15.75" customHeight="1" x14ac:dyDescent="0.25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</row>
    <row r="163" spans="1:14" ht="15.75" customHeight="1" x14ac:dyDescent="0.25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</row>
    <row r="164" spans="1:14" ht="15.75" customHeight="1" x14ac:dyDescent="0.25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</row>
    <row r="165" spans="1:14" ht="15.75" customHeight="1" x14ac:dyDescent="0.2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</row>
    <row r="166" spans="1:14" ht="15.75" customHeight="1" x14ac:dyDescent="0.25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</row>
    <row r="167" spans="1:14" ht="15.75" customHeight="1" x14ac:dyDescent="0.25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</row>
    <row r="168" spans="1:14" ht="15.75" customHeight="1" x14ac:dyDescent="0.25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</row>
    <row r="169" spans="1:14" ht="15.75" customHeight="1" x14ac:dyDescent="0.25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</row>
    <row r="170" spans="1:14" ht="15.75" customHeight="1" x14ac:dyDescent="0.25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</row>
    <row r="171" spans="1:14" ht="15.75" customHeight="1" x14ac:dyDescent="0.25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</row>
    <row r="172" spans="1:14" ht="15.75" customHeight="1" x14ac:dyDescent="0.25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</row>
    <row r="173" spans="1:14" ht="15.75" customHeight="1" x14ac:dyDescent="0.25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</row>
    <row r="174" spans="1:14" ht="15.75" customHeight="1" x14ac:dyDescent="0.25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</row>
    <row r="175" spans="1:14" ht="15.75" customHeight="1" x14ac:dyDescent="0.2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</row>
    <row r="176" spans="1:14" ht="15.75" customHeight="1" x14ac:dyDescent="0.25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</row>
    <row r="177" spans="1:14" ht="15.75" customHeight="1" x14ac:dyDescent="0.25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</row>
    <row r="178" spans="1:14" ht="15.75" customHeight="1" x14ac:dyDescent="0.25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</row>
    <row r="179" spans="1:14" ht="15.75" customHeight="1" x14ac:dyDescent="0.25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</row>
    <row r="180" spans="1:14" ht="15.75" customHeight="1" x14ac:dyDescent="0.25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</row>
    <row r="181" spans="1:14" ht="15.75" customHeight="1" x14ac:dyDescent="0.25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</row>
    <row r="182" spans="1:14" ht="15.75" customHeight="1" x14ac:dyDescent="0.25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</row>
    <row r="183" spans="1:14" ht="15.75" customHeight="1" x14ac:dyDescent="0.25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</row>
    <row r="184" spans="1:14" ht="15.75" customHeight="1" x14ac:dyDescent="0.25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</row>
    <row r="185" spans="1:14" ht="15.75" customHeight="1" x14ac:dyDescent="0.2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</row>
    <row r="186" spans="1:14" ht="15.75" customHeight="1" x14ac:dyDescent="0.25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</row>
    <row r="187" spans="1:14" ht="15.75" customHeight="1" x14ac:dyDescent="0.25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</row>
    <row r="188" spans="1:14" ht="15.75" customHeight="1" x14ac:dyDescent="0.25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</row>
    <row r="189" spans="1:14" ht="15.75" customHeight="1" x14ac:dyDescent="0.25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</row>
    <row r="190" spans="1:14" ht="15.75" customHeight="1" x14ac:dyDescent="0.25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</row>
    <row r="191" spans="1:14" ht="15.75" customHeight="1" x14ac:dyDescent="0.25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</row>
    <row r="192" spans="1:14" ht="15.75" customHeight="1" x14ac:dyDescent="0.25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</row>
    <row r="193" spans="1:14" ht="15.75" customHeight="1" x14ac:dyDescent="0.25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</row>
    <row r="194" spans="1:14" ht="15.75" customHeight="1" x14ac:dyDescent="0.25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</row>
    <row r="195" spans="1:14" ht="15.75" customHeight="1" x14ac:dyDescent="0.2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</row>
    <row r="196" spans="1:14" ht="15.75" customHeight="1" x14ac:dyDescent="0.25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</row>
    <row r="197" spans="1:14" ht="15.75" customHeight="1" x14ac:dyDescent="0.25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</row>
    <row r="198" spans="1:14" ht="15.75" customHeight="1" x14ac:dyDescent="0.25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</row>
    <row r="199" spans="1:14" ht="15.75" customHeight="1" x14ac:dyDescent="0.25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</row>
    <row r="200" spans="1:14" ht="15.75" customHeight="1" x14ac:dyDescent="0.25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</row>
    <row r="201" spans="1:14" ht="15.75" customHeight="1" x14ac:dyDescent="0.25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</row>
    <row r="202" spans="1:14" ht="15.75" customHeight="1" x14ac:dyDescent="0.25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</row>
    <row r="203" spans="1:14" ht="15.75" customHeight="1" x14ac:dyDescent="0.25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</row>
    <row r="204" spans="1:14" ht="15.75" customHeight="1" x14ac:dyDescent="0.25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</row>
    <row r="205" spans="1:14" ht="15.75" customHeight="1" x14ac:dyDescent="0.2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</row>
    <row r="206" spans="1:14" ht="15.75" customHeight="1" x14ac:dyDescent="0.25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</row>
    <row r="207" spans="1:14" ht="15.75" customHeight="1" x14ac:dyDescent="0.25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</row>
    <row r="208" spans="1:14" ht="15.75" customHeight="1" x14ac:dyDescent="0.25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</row>
    <row r="209" spans="1:14" ht="15.75" customHeight="1" x14ac:dyDescent="0.25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</row>
    <row r="210" spans="1:14" ht="15.75" customHeight="1" x14ac:dyDescent="0.25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</row>
    <row r="211" spans="1:14" ht="15.75" customHeight="1" x14ac:dyDescent="0.25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</row>
    <row r="212" spans="1:14" ht="15.75" customHeight="1" x14ac:dyDescent="0.25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</row>
    <row r="213" spans="1:14" ht="15.75" customHeight="1" x14ac:dyDescent="0.25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</row>
    <row r="214" spans="1:14" ht="15.75" customHeight="1" x14ac:dyDescent="0.25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</row>
    <row r="215" spans="1:14" ht="15.75" customHeight="1" x14ac:dyDescent="0.2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</row>
    <row r="216" spans="1:14" ht="15.75" customHeight="1" x14ac:dyDescent="0.25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</row>
    <row r="217" spans="1:14" ht="15.75" customHeight="1" x14ac:dyDescent="0.25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</row>
    <row r="218" spans="1:14" ht="15.75" customHeight="1" x14ac:dyDescent="0.25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</row>
    <row r="219" spans="1:14" ht="15.75" customHeight="1" x14ac:dyDescent="0.25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</row>
    <row r="220" spans="1:14" ht="15.75" customHeight="1" x14ac:dyDescent="0.25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</row>
    <row r="221" spans="1:14" ht="15.75" customHeight="1" x14ac:dyDescent="0.2"/>
    <row r="222" spans="1:14" ht="15.75" customHeight="1" x14ac:dyDescent="0.2"/>
    <row r="223" spans="1:14" ht="15.75" customHeight="1" x14ac:dyDescent="0.2"/>
    <row r="224" spans="1:1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M1"/>
    <mergeCell ref="A9:M9"/>
    <mergeCell ref="N9:Z9"/>
    <mergeCell ref="AA9:AM9"/>
  </mergeCells>
  <pageMargins left="0.511811024" right="0.511811024" top="0.78740157499999996" bottom="0.78740157499999996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EBC0A"/>
    <outlinePr summaryBelow="0" summaryRight="0"/>
  </sheetPr>
  <dimension ref="A1:Z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12.5703125" defaultRowHeight="15" customHeight="1" x14ac:dyDescent="0.2"/>
  <cols>
    <col min="1" max="1" width="23.85546875" customWidth="1"/>
    <col min="2" max="2" width="17.85546875" customWidth="1"/>
    <col min="3" max="3" width="15.7109375" customWidth="1"/>
    <col min="4" max="4" width="52.5703125" customWidth="1"/>
    <col min="5" max="5" width="52.7109375" customWidth="1"/>
    <col min="6" max="6" width="20.5703125" customWidth="1"/>
    <col min="7" max="7" width="14.42578125" customWidth="1"/>
  </cols>
  <sheetData>
    <row r="1" spans="1:26" ht="26.25" customHeight="1" x14ac:dyDescent="0.2">
      <c r="B1" s="156" t="s">
        <v>48</v>
      </c>
      <c r="C1" s="133"/>
      <c r="D1" s="133"/>
      <c r="E1" s="133"/>
      <c r="F1" s="134"/>
      <c r="G1" s="93"/>
    </row>
    <row r="2" spans="1:26" x14ac:dyDescent="0.2">
      <c r="A2" s="94" t="s">
        <v>49</v>
      </c>
      <c r="B2" s="95" t="s">
        <v>50</v>
      </c>
      <c r="C2" s="94" t="s">
        <v>51</v>
      </c>
      <c r="D2" s="94" t="s">
        <v>52</v>
      </c>
      <c r="E2" s="94" t="s">
        <v>53</v>
      </c>
      <c r="F2" s="95" t="s">
        <v>54</v>
      </c>
      <c r="G2" s="96"/>
    </row>
    <row r="3" spans="1:26" ht="15.75" customHeight="1" x14ac:dyDescent="0.2">
      <c r="A3" s="97"/>
      <c r="B3" s="157"/>
      <c r="C3" s="158"/>
      <c r="D3" s="158"/>
      <c r="E3" s="158"/>
      <c r="F3" s="159"/>
      <c r="G3" s="98"/>
    </row>
    <row r="4" spans="1:26" ht="15.75" customHeight="1" x14ac:dyDescent="0.2">
      <c r="A4" s="99" t="s">
        <v>55</v>
      </c>
      <c r="B4" s="43"/>
      <c r="C4" s="43"/>
      <c r="D4" s="43"/>
      <c r="E4" s="43"/>
      <c r="F4" s="100"/>
      <c r="G4" s="101"/>
    </row>
    <row r="5" spans="1:26" ht="15.75" customHeight="1" x14ac:dyDescent="0.2">
      <c r="A5" s="99" t="s">
        <v>56</v>
      </c>
      <c r="B5" s="43"/>
      <c r="C5" s="43"/>
      <c r="D5" s="43"/>
      <c r="E5" s="43"/>
      <c r="F5" s="100"/>
      <c r="G5" s="101"/>
    </row>
    <row r="6" spans="1:26" ht="15.75" customHeight="1" x14ac:dyDescent="0.2">
      <c r="A6" s="99" t="s">
        <v>57</v>
      </c>
      <c r="B6" s="43"/>
      <c r="C6" s="43"/>
      <c r="D6" s="43"/>
      <c r="E6" s="43"/>
      <c r="F6" s="100"/>
      <c r="G6" s="101"/>
    </row>
    <row r="7" spans="1:26" ht="15.75" customHeight="1" x14ac:dyDescent="0.2">
      <c r="A7" s="99" t="s">
        <v>58</v>
      </c>
      <c r="B7" s="43"/>
      <c r="C7" s="43"/>
      <c r="D7" s="43"/>
      <c r="E7" s="43"/>
      <c r="F7" s="100"/>
      <c r="G7" s="101"/>
    </row>
    <row r="8" spans="1:26" ht="15.75" customHeight="1" x14ac:dyDescent="0.2">
      <c r="A8" s="99" t="s">
        <v>59</v>
      </c>
      <c r="B8" s="43"/>
      <c r="C8" s="43"/>
      <c r="D8" s="43"/>
      <c r="E8" s="43"/>
      <c r="F8" s="100"/>
      <c r="G8" s="101"/>
    </row>
    <row r="9" spans="1:26" ht="15.75" customHeight="1" x14ac:dyDescent="0.2">
      <c r="A9" s="99" t="s">
        <v>60</v>
      </c>
      <c r="B9" s="43"/>
      <c r="C9" s="43"/>
      <c r="D9" s="43"/>
      <c r="E9" s="43"/>
      <c r="F9" s="100"/>
      <c r="G9" s="101"/>
    </row>
    <row r="10" spans="1:26" ht="15.75" customHeight="1" x14ac:dyDescent="0.2">
      <c r="A10" s="99" t="s">
        <v>61</v>
      </c>
      <c r="B10" s="43"/>
      <c r="C10" s="43"/>
      <c r="D10" s="43"/>
      <c r="E10" s="43"/>
      <c r="F10" s="100"/>
      <c r="G10" s="101"/>
    </row>
    <row r="11" spans="1:26" ht="15.75" customHeight="1" x14ac:dyDescent="0.2">
      <c r="A11" s="99" t="s">
        <v>62</v>
      </c>
      <c r="B11" s="43"/>
      <c r="C11" s="43"/>
      <c r="D11" s="43"/>
      <c r="E11" s="43"/>
      <c r="F11" s="100"/>
      <c r="G11" s="101"/>
    </row>
    <row r="12" spans="1:26" ht="15.75" customHeight="1" x14ac:dyDescent="0.2">
      <c r="A12" s="99" t="s">
        <v>63</v>
      </c>
      <c r="B12" s="102">
        <v>45366</v>
      </c>
      <c r="C12" s="50"/>
      <c r="D12" s="50" t="s">
        <v>64</v>
      </c>
      <c r="E12" s="50"/>
      <c r="F12" s="103">
        <v>100</v>
      </c>
      <c r="G12" s="101"/>
    </row>
    <row r="13" spans="1:26" ht="15.75" customHeight="1" x14ac:dyDescent="0.2">
      <c r="A13" s="99"/>
      <c r="B13" s="102">
        <v>45387</v>
      </c>
      <c r="C13" s="50"/>
      <c r="D13" s="50" t="s">
        <v>64</v>
      </c>
      <c r="E13" s="50"/>
      <c r="F13" s="103"/>
      <c r="G13" s="101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spans="1:26" ht="15.75" customHeight="1" x14ac:dyDescent="0.2">
      <c r="A14" s="99"/>
      <c r="B14" s="102">
        <v>45415</v>
      </c>
      <c r="C14" s="50"/>
      <c r="D14" s="50" t="s">
        <v>65</v>
      </c>
      <c r="E14" s="50"/>
      <c r="F14" s="103"/>
      <c r="G14" s="101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spans="1:26" ht="15.75" customHeight="1" x14ac:dyDescent="0.2">
      <c r="A15" s="99"/>
      <c r="B15" s="102">
        <v>45450</v>
      </c>
      <c r="C15" s="50"/>
      <c r="D15" s="50" t="s">
        <v>64</v>
      </c>
      <c r="E15" s="50"/>
      <c r="F15" s="103"/>
      <c r="G15" s="101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spans="1:26" ht="15.75" customHeight="1" x14ac:dyDescent="0.2">
      <c r="A16" s="99"/>
      <c r="B16" s="102"/>
      <c r="C16" s="50"/>
      <c r="D16" s="50"/>
      <c r="E16" s="50"/>
      <c r="F16" s="103"/>
      <c r="G16" s="101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spans="1:26" ht="15.75" customHeight="1" x14ac:dyDescent="0.2">
      <c r="A17" s="99"/>
      <c r="B17" s="102"/>
      <c r="C17" s="50"/>
      <c r="D17" s="50"/>
      <c r="E17" s="50"/>
      <c r="F17" s="103"/>
      <c r="G17" s="101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spans="1:26" ht="15.75" customHeight="1" x14ac:dyDescent="0.2">
      <c r="A18" s="104" t="s">
        <v>66</v>
      </c>
      <c r="B18" s="105"/>
      <c r="C18" s="105"/>
      <c r="D18" s="105"/>
      <c r="E18" s="105"/>
      <c r="F18" s="103"/>
      <c r="G18" s="106"/>
    </row>
    <row r="19" spans="1:26" ht="15.75" customHeight="1" x14ac:dyDescent="0.2">
      <c r="A19" s="99" t="s">
        <v>67</v>
      </c>
      <c r="B19" s="50"/>
      <c r="C19" s="50"/>
      <c r="D19" s="50"/>
      <c r="E19" s="50"/>
      <c r="F19" s="103"/>
      <c r="G19" s="101"/>
    </row>
    <row r="20" spans="1:26" ht="15.75" customHeight="1" x14ac:dyDescent="0.2">
      <c r="A20" s="104" t="s">
        <v>68</v>
      </c>
      <c r="B20" s="105"/>
      <c r="C20" s="105"/>
      <c r="D20" s="105"/>
      <c r="E20" s="105"/>
      <c r="F20" s="103"/>
      <c r="G20" s="101"/>
    </row>
    <row r="21" spans="1:26" ht="27" customHeight="1" x14ac:dyDescent="0.2">
      <c r="A21" s="107" t="s">
        <v>69</v>
      </c>
      <c r="B21" s="105"/>
      <c r="C21" s="105"/>
      <c r="D21" s="105"/>
      <c r="E21" s="105"/>
      <c r="F21" s="103"/>
      <c r="G21" s="101"/>
    </row>
    <row r="22" spans="1:26" ht="15.75" customHeight="1" x14ac:dyDescent="0.2">
      <c r="A22" s="99" t="s">
        <v>70</v>
      </c>
      <c r="B22" s="50"/>
      <c r="C22" s="50"/>
      <c r="D22" s="50"/>
      <c r="E22" s="50"/>
      <c r="F22" s="103"/>
      <c r="G22" s="101"/>
    </row>
    <row r="23" spans="1:26" ht="15.75" customHeight="1" x14ac:dyDescent="0.2">
      <c r="A23" s="104" t="s">
        <v>71</v>
      </c>
      <c r="B23" s="105"/>
      <c r="C23" s="105"/>
      <c r="D23" s="105"/>
      <c r="E23" s="105"/>
      <c r="F23" s="103"/>
      <c r="G23" s="101"/>
    </row>
    <row r="24" spans="1:26" ht="15.75" customHeight="1" x14ac:dyDescent="0.2">
      <c r="A24" s="108" t="s">
        <v>72</v>
      </c>
      <c r="B24" s="109"/>
      <c r="C24" s="109"/>
      <c r="D24" s="109"/>
      <c r="E24" s="109"/>
      <c r="F24" s="103"/>
      <c r="G24" s="101"/>
    </row>
    <row r="25" spans="1:26" ht="15.75" customHeight="1" x14ac:dyDescent="0.2">
      <c r="A25" s="110" t="s">
        <v>73</v>
      </c>
      <c r="B25" s="111"/>
      <c r="C25" s="105"/>
      <c r="D25" s="105"/>
      <c r="E25" s="105"/>
      <c r="F25" s="103"/>
      <c r="G25" s="101"/>
    </row>
    <row r="26" spans="1:26" ht="15.75" customHeight="1" x14ac:dyDescent="0.2">
      <c r="A26" s="112"/>
      <c r="B26" s="113"/>
      <c r="C26" s="113"/>
      <c r="D26" s="113"/>
      <c r="E26" s="113"/>
      <c r="F26" s="103"/>
      <c r="G26" s="101"/>
    </row>
    <row r="27" spans="1:26" ht="15.75" customHeight="1" x14ac:dyDescent="0.2">
      <c r="B27" s="114"/>
      <c r="C27" s="114"/>
      <c r="D27" s="114"/>
      <c r="E27" s="114"/>
      <c r="F27" s="114"/>
    </row>
    <row r="28" spans="1:26" ht="15.75" customHeight="1" x14ac:dyDescent="0.2">
      <c r="B28" s="114"/>
      <c r="C28" s="114"/>
      <c r="D28" s="114"/>
      <c r="E28" s="114"/>
      <c r="F28" s="114"/>
    </row>
    <row r="29" spans="1:26" ht="15.75" customHeight="1" x14ac:dyDescent="0.2"/>
    <row r="30" spans="1:26" ht="15.75" customHeight="1" x14ac:dyDescent="0.2"/>
    <row r="31" spans="1:26" ht="15.75" customHeight="1" x14ac:dyDescent="0.2"/>
    <row r="32" spans="1:2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B1:F1"/>
    <mergeCell ref="B3:F3"/>
  </mergeCell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CAPA Explicações</vt:lpstr>
      <vt:lpstr>Fluxo de caixa 2024</vt:lpstr>
      <vt:lpstr>Fluxo de caixa 2025</vt:lpstr>
      <vt:lpstr>Fluxo de caixa 2026</vt:lpstr>
      <vt:lpstr>TaxaCondominio</vt:lpstr>
      <vt:lpstr>Manutenções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Melo</cp:lastModifiedBy>
  <dcterms:modified xsi:type="dcterms:W3CDTF">2026-06-18T12:21:44Z</dcterms:modified>
</cp:coreProperties>
</file>