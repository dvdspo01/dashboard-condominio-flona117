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Condominio\planilhas\"/>
    </mc:Choice>
  </mc:AlternateContent>
  <xr:revisionPtr revIDLastSave="0" documentId="13_ncr:1_{6346C846-88A5-4F50-96C0-AA5A98632B76}" xr6:coauthVersionLast="47" xr6:coauthVersionMax="47" xr10:uidLastSave="{00000000-0000-0000-0000-000000000000}"/>
  <bookViews>
    <workbookView xWindow="-28920" yWindow="-120" windowWidth="29040" windowHeight="15720" activeTab="2" xr2:uid="{00000000-000D-0000-FFFF-FFFF00000000}"/>
  </bookViews>
  <sheets>
    <sheet name="CAPA Explicações" sheetId="1" r:id="rId1"/>
    <sheet name="Fluxo de caixa 2024" sheetId="2" r:id="rId2"/>
    <sheet name="Fluxo de caixa 2025" sheetId="3" r:id="rId3"/>
    <sheet name="TaxaCondominio" sheetId="4" r:id="rId4"/>
    <sheet name="Manutenções" sheetId="5" state="hidden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6" i="3" l="1"/>
  <c r="L6" i="3"/>
  <c r="L17" i="3"/>
  <c r="L18" i="3"/>
  <c r="L19" i="3"/>
  <c r="M19" i="3"/>
  <c r="Z10" i="4"/>
  <c r="Y10" i="4"/>
  <c r="X10" i="4"/>
  <c r="W10" i="4"/>
  <c r="K9" i="3" s="1"/>
  <c r="K8" i="3" s="1"/>
  <c r="V10" i="4"/>
  <c r="J9" i="3" s="1"/>
  <c r="J8" i="3" s="1"/>
  <c r="U10" i="4"/>
  <c r="T10" i="4"/>
  <c r="H9" i="3" s="1"/>
  <c r="H8" i="3" s="1"/>
  <c r="S10" i="4"/>
  <c r="G9" i="3" s="1"/>
  <c r="G8" i="3" s="1"/>
  <c r="R10" i="4"/>
  <c r="Q10" i="4"/>
  <c r="P10" i="4"/>
  <c r="O10" i="4"/>
  <c r="C9" i="3" s="1"/>
  <c r="C8" i="3" s="1"/>
  <c r="N10" i="4"/>
  <c r="M10" i="4"/>
  <c r="L10" i="4"/>
  <c r="K10" i="4"/>
  <c r="J10" i="4"/>
  <c r="I10" i="4"/>
  <c r="I9" i="2" s="1"/>
  <c r="I8" i="2" s="1"/>
  <c r="H10" i="4"/>
  <c r="H9" i="2" s="1"/>
  <c r="H8" i="2" s="1"/>
  <c r="G10" i="4"/>
  <c r="G9" i="2" s="1"/>
  <c r="G8" i="2" s="1"/>
  <c r="F10" i="4"/>
  <c r="F9" i="2" s="1"/>
  <c r="F8" i="2" s="1"/>
  <c r="E10" i="4"/>
  <c r="D10" i="4"/>
  <c r="C10" i="4"/>
  <c r="B10" i="4"/>
  <c r="M4" i="4"/>
  <c r="L4" i="4"/>
  <c r="K4" i="4"/>
  <c r="J4" i="4"/>
  <c r="I4" i="4"/>
  <c r="H4" i="4"/>
  <c r="G4" i="4"/>
  <c r="F4" i="4"/>
  <c r="E4" i="4"/>
  <c r="D4" i="4"/>
  <c r="C4" i="4"/>
  <c r="B4" i="4"/>
  <c r="E33" i="3"/>
  <c r="F33" i="3" s="1"/>
  <c r="G33" i="3" s="1"/>
  <c r="H33" i="3" s="1"/>
  <c r="I33" i="3" s="1"/>
  <c r="J33" i="3" s="1"/>
  <c r="K33" i="3" s="1"/>
  <c r="L33" i="3" s="1"/>
  <c r="M33" i="3" s="1"/>
  <c r="G30" i="3"/>
  <c r="F30" i="3"/>
  <c r="C30" i="3"/>
  <c r="G29" i="3"/>
  <c r="C29" i="3"/>
  <c r="M28" i="3"/>
  <c r="L28" i="3"/>
  <c r="J28" i="3"/>
  <c r="H28" i="3"/>
  <c r="E28" i="3"/>
  <c r="D28" i="3"/>
  <c r="C28" i="3"/>
  <c r="B28" i="3"/>
  <c r="J23" i="3"/>
  <c r="J21" i="3" s="1"/>
  <c r="J30" i="3" s="1"/>
  <c r="M21" i="3"/>
  <c r="M30" i="3" s="1"/>
  <c r="L21" i="3"/>
  <c r="L30" i="3" s="1"/>
  <c r="K21" i="3"/>
  <c r="K30" i="3" s="1"/>
  <c r="I21" i="3"/>
  <c r="I30" i="3" s="1"/>
  <c r="H21" i="3"/>
  <c r="H30" i="3" s="1"/>
  <c r="G21" i="3"/>
  <c r="F21" i="3"/>
  <c r="E21" i="3"/>
  <c r="E30" i="3" s="1"/>
  <c r="D21" i="3"/>
  <c r="D30" i="3" s="1"/>
  <c r="C21" i="3"/>
  <c r="B21" i="3"/>
  <c r="B30" i="3" s="1"/>
  <c r="J19" i="3"/>
  <c r="L16" i="3" s="1"/>
  <c r="L29" i="3" s="1"/>
  <c r="M18" i="3"/>
  <c r="M17" i="3"/>
  <c r="K16" i="3"/>
  <c r="K29" i="3" s="1"/>
  <c r="I16" i="3"/>
  <c r="I29" i="3" s="1"/>
  <c r="H16" i="3"/>
  <c r="H29" i="3" s="1"/>
  <c r="G16" i="3"/>
  <c r="F16" i="3"/>
  <c r="F29" i="3" s="1"/>
  <c r="E16" i="3"/>
  <c r="E29" i="3" s="1"/>
  <c r="D16" i="3"/>
  <c r="D29" i="3" s="1"/>
  <c r="C16" i="3"/>
  <c r="B16" i="3"/>
  <c r="B29" i="3" s="1"/>
  <c r="M13" i="3"/>
  <c r="L13" i="3"/>
  <c r="K13" i="3"/>
  <c r="J13" i="3"/>
  <c r="I13" i="3"/>
  <c r="I28" i="3" s="1"/>
  <c r="H13" i="3"/>
  <c r="G13" i="3"/>
  <c r="F13" i="3"/>
  <c r="F28" i="3" s="1"/>
  <c r="E13" i="3"/>
  <c r="D13" i="3"/>
  <c r="C13" i="3"/>
  <c r="B13" i="3"/>
  <c r="I9" i="3"/>
  <c r="F9" i="3"/>
  <c r="E9" i="3"/>
  <c r="E8" i="3" s="1"/>
  <c r="E27" i="3" s="1"/>
  <c r="D9" i="3"/>
  <c r="D8" i="3" s="1"/>
  <c r="B9" i="3"/>
  <c r="B8" i="3" s="1"/>
  <c r="M8" i="3"/>
  <c r="L8" i="3"/>
  <c r="I8" i="3"/>
  <c r="F8" i="3"/>
  <c r="M5" i="3"/>
  <c r="L5" i="3"/>
  <c r="K5" i="3"/>
  <c r="J5" i="3"/>
  <c r="I5" i="3"/>
  <c r="H5" i="3"/>
  <c r="G5" i="3"/>
  <c r="F5" i="3"/>
  <c r="E5" i="3"/>
  <c r="D5" i="3"/>
  <c r="C5" i="3"/>
  <c r="B5" i="3"/>
  <c r="J30" i="2"/>
  <c r="I30" i="2"/>
  <c r="J29" i="2"/>
  <c r="G29" i="2"/>
  <c r="M28" i="2"/>
  <c r="K28" i="2"/>
  <c r="J28" i="2"/>
  <c r="E28" i="2"/>
  <c r="D28" i="2"/>
  <c r="C28" i="2"/>
  <c r="M21" i="2"/>
  <c r="M30" i="2" s="1"/>
  <c r="L21" i="2"/>
  <c r="L30" i="2" s="1"/>
  <c r="K21" i="2"/>
  <c r="K30" i="2" s="1"/>
  <c r="J21" i="2"/>
  <c r="I21" i="2"/>
  <c r="H21" i="2"/>
  <c r="H30" i="2" s="1"/>
  <c r="G21" i="2"/>
  <c r="G30" i="2" s="1"/>
  <c r="F21" i="2"/>
  <c r="F30" i="2" s="1"/>
  <c r="E21" i="2"/>
  <c r="E30" i="2" s="1"/>
  <c r="D21" i="2"/>
  <c r="D30" i="2" s="1"/>
  <c r="C21" i="2"/>
  <c r="C30" i="2" s="1"/>
  <c r="B21" i="2"/>
  <c r="B30" i="2" s="1"/>
  <c r="M16" i="2"/>
  <c r="M29" i="2" s="1"/>
  <c r="L16" i="2"/>
  <c r="L29" i="2" s="1"/>
  <c r="K16" i="2"/>
  <c r="K29" i="2" s="1"/>
  <c r="J16" i="2"/>
  <c r="I16" i="2"/>
  <c r="I29" i="2" s="1"/>
  <c r="H16" i="2"/>
  <c r="H29" i="2" s="1"/>
  <c r="G16" i="2"/>
  <c r="F16" i="2"/>
  <c r="F29" i="2" s="1"/>
  <c r="E16" i="2"/>
  <c r="E29" i="2" s="1"/>
  <c r="D16" i="2"/>
  <c r="D29" i="2" s="1"/>
  <c r="C16" i="2"/>
  <c r="C29" i="2" s="1"/>
  <c r="B16" i="2"/>
  <c r="B29" i="2" s="1"/>
  <c r="M13" i="2"/>
  <c r="L13" i="2"/>
  <c r="K13" i="2"/>
  <c r="J13" i="2"/>
  <c r="I13" i="2"/>
  <c r="I28" i="2" s="1"/>
  <c r="H13" i="2"/>
  <c r="H28" i="2" s="1"/>
  <c r="G13" i="2"/>
  <c r="G28" i="2" s="1"/>
  <c r="F13" i="2"/>
  <c r="F28" i="2" s="1"/>
  <c r="E13" i="2"/>
  <c r="D13" i="2"/>
  <c r="C13" i="2"/>
  <c r="B13" i="2"/>
  <c r="B28" i="2" s="1"/>
  <c r="M9" i="2"/>
  <c r="M8" i="2" s="1"/>
  <c r="L9" i="2"/>
  <c r="L8" i="2" s="1"/>
  <c r="K9" i="2"/>
  <c r="K8" i="2" s="1"/>
  <c r="J9" i="2"/>
  <c r="E9" i="2"/>
  <c r="J8" i="2"/>
  <c r="E8" i="2"/>
  <c r="D8" i="2"/>
  <c r="C8" i="2"/>
  <c r="C27" i="2" s="1"/>
  <c r="B8" i="2"/>
  <c r="B27" i="2" s="1"/>
  <c r="M5" i="2"/>
  <c r="L5" i="2"/>
  <c r="K5" i="2"/>
  <c r="J5" i="2"/>
  <c r="I5" i="2"/>
  <c r="H5" i="2"/>
  <c r="G5" i="2"/>
  <c r="F5" i="2"/>
  <c r="E5" i="2"/>
  <c r="D5" i="2"/>
  <c r="C5" i="2"/>
  <c r="B5" i="2"/>
  <c r="M16" i="3" l="1"/>
  <c r="M29" i="3" s="1"/>
  <c r="J16" i="3"/>
  <c r="J29" i="3" s="1"/>
  <c r="B31" i="2"/>
  <c r="C6" i="2" s="1"/>
  <c r="C31" i="2"/>
  <c r="D6" i="2" l="1"/>
  <c r="D27" i="2" s="1"/>
  <c r="D31" i="2" s="1"/>
  <c r="E6" i="2" l="1"/>
  <c r="E27" i="2"/>
  <c r="E31" i="2" s="1"/>
  <c r="F6" i="2" l="1"/>
  <c r="F27" i="2"/>
  <c r="F31" i="2" s="1"/>
  <c r="G6" i="2" l="1"/>
  <c r="G27" i="2"/>
  <c r="G31" i="2" s="1"/>
  <c r="H6" i="2" l="1"/>
  <c r="H27" i="2"/>
  <c r="H31" i="2" s="1"/>
  <c r="I6" i="2" l="1"/>
  <c r="I27" i="2"/>
  <c r="I31" i="2" s="1"/>
  <c r="J27" i="2" l="1"/>
  <c r="J31" i="2" s="1"/>
  <c r="J6" i="2"/>
  <c r="K27" i="2" l="1"/>
  <c r="K31" i="2" s="1"/>
  <c r="K6" i="2"/>
  <c r="L27" i="2" l="1"/>
  <c r="L31" i="2" s="1"/>
  <c r="L6" i="2"/>
  <c r="M6" i="2" l="1"/>
  <c r="M27" i="2"/>
  <c r="M31" i="2" s="1"/>
  <c r="B6" i="3" l="1"/>
  <c r="B27" i="3"/>
  <c r="B31" i="3" s="1"/>
  <c r="C6" i="3" l="1"/>
  <c r="C27" i="3"/>
  <c r="C31" i="3" s="1"/>
  <c r="D31" i="3" l="1"/>
  <c r="D6" i="3"/>
  <c r="E31" i="3" l="1"/>
  <c r="E6" i="3"/>
  <c r="F6" i="3" l="1"/>
  <c r="F27" i="3"/>
  <c r="F31" i="3" s="1"/>
  <c r="G27" i="3" l="1"/>
  <c r="G31" i="3" s="1"/>
  <c r="H27" i="3" s="1"/>
  <c r="H31" i="3" s="1"/>
  <c r="G6" i="3"/>
  <c r="H6" i="3" l="1"/>
  <c r="I27" i="3"/>
  <c r="I31" i="3" s="1"/>
  <c r="I6" i="3" l="1"/>
  <c r="J27" i="3"/>
  <c r="J31" i="3" s="1"/>
  <c r="J6" i="3" l="1"/>
  <c r="K27" i="3"/>
  <c r="K31" i="3" s="1"/>
  <c r="K6" i="3" l="1"/>
  <c r="L27" i="3"/>
  <c r="L31" i="3" s="1"/>
  <c r="M27" i="3" s="1"/>
  <c r="M31" i="3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D22" authorId="0" shapeId="0" xr:uid="{00000000-0006-0000-0100-000001000000}">
      <text>
        <r>
          <rPr>
            <sz val="10"/>
            <color rgb="FF000000"/>
            <rFont val="Arial"/>
            <scheme val="minor"/>
          </rPr>
          <t xml:space="preserve">Jessica Canella:
Visita tecnica garagem 
</t>
        </r>
      </text>
    </comment>
    <comment ref="C24" authorId="0" shapeId="0" xr:uid="{00000000-0006-0000-0100-000002000000}">
      <text>
        <r>
          <rPr>
            <sz val="10"/>
            <color rgb="FF000000"/>
            <rFont val="Arial"/>
            <scheme val="minor"/>
          </rPr>
          <t xml:space="preserve">Jessica Canella:
Mangueira
</t>
        </r>
      </text>
    </comment>
    <comment ref="D24" authorId="0" shapeId="0" xr:uid="{00000000-0006-0000-0100-000003000000}">
      <text>
        <r>
          <rPr>
            <sz val="10"/>
            <color rgb="FF000000"/>
            <rFont val="Arial"/>
            <scheme val="minor"/>
          </rPr>
          <t xml:space="preserve">Jessica Canella:
Tampas garagem 
</t>
        </r>
      </text>
    </comment>
    <comment ref="J24" authorId="0" shapeId="0" xr:uid="{00000000-0006-0000-0100-000004000000}">
      <text>
        <r>
          <rPr>
            <sz val="10"/>
            <color rgb="FF000000"/>
            <rFont val="Arial"/>
            <scheme val="minor"/>
          </rPr>
          <t xml:space="preserve">Jessica Canella:
Problema na leitura, foi pago em 19/09 
</t>
        </r>
      </text>
    </comment>
    <comment ref="L24" authorId="0" shapeId="0" xr:uid="{00000000-0006-0000-0100-000005000000}">
      <text>
        <r>
          <rPr>
            <sz val="10"/>
            <color rgb="FF000000"/>
            <rFont val="Arial"/>
            <scheme val="minor"/>
          </rPr>
          <t xml:space="preserve">Jessica Canella:
Compra de protetores 
*crédito Osmar 
</t>
        </r>
      </text>
    </comment>
    <comment ref="M24" authorId="0" shapeId="0" xr:uid="{00000000-0006-0000-0100-000006000000}">
      <text>
        <r>
          <rPr>
            <sz val="10"/>
            <color rgb="FF000000"/>
            <rFont val="Arial"/>
            <scheme val="minor"/>
          </rPr>
          <t xml:space="preserve">Jessica Canella:
Compra de sacos entulho  
*crédito apto Osmar </t>
        </r>
      </text>
    </comment>
  </commentList>
</comments>
</file>

<file path=xl/sharedStrings.xml><?xml version="1.0" encoding="utf-8"?>
<sst xmlns="http://schemas.openxmlformats.org/spreadsheetml/2006/main" count="102" uniqueCount="74">
  <si>
    <t>Facilite ainda mais o seu trabalho</t>
  </si>
  <si>
    <t>Conheça o aplicativo para o controle do condomínio usado em mais de 20 mil condomínios no Brasil, Estados Unidos, Canadá e México.</t>
  </si>
  <si>
    <t>INSTRUÇÕES</t>
  </si>
  <si>
    <t>Nome da aba</t>
  </si>
  <si>
    <t>Orientações</t>
  </si>
  <si>
    <t xml:space="preserve">Fluxo de caixa </t>
  </si>
  <si>
    <t xml:space="preserve">Esta aba serve para você controlar o fluxo de caixa e acompanhar o saldo do condomínio mês a mês. Na parte de receitas, você lista todas as fontes e valores de receita do condomínio. É possível adicionar linhas, caso haja mais fontes de renda. Em Outras Contas você deve atualizar o saldo de outras contas do condomínio. Em Despesas, adicione todas as despesas de valor fixo e que acontecem todo o mês. Em despesas variáveis, as despesas que tem custos diferentes todos os meses. Em Saldo Atual, você conseguirá verificar os saldos de cada conta do condomínio. </t>
  </si>
  <si>
    <t>Manutenções</t>
  </si>
  <si>
    <t xml:space="preserve">Aqui você consegue listar todos os itens por área do condomínio que precisam ser verificados de modo periódico e controlar as datas de manutenção de cada item. </t>
  </si>
  <si>
    <t xml:space="preserve">Controle de visitantes </t>
  </si>
  <si>
    <t xml:space="preserve">Para mais segurança no condomínio, insira as informações de todos os visitantes e prestadores de serviço com data e horário de entrada e saída do condomínio. No caso de prestadores de serviço, você deve adicionar também o nome da empresa daquele prestador de serviço. </t>
  </si>
  <si>
    <t>Reservas</t>
  </si>
  <si>
    <t xml:space="preserve">Para controlar as reservas, utilize apenas este calendário para reserva de dependências do condomínio. Adicione nome do morador, unidade e qual dependência ele está reservando. </t>
  </si>
  <si>
    <t xml:space="preserve">Escala de funcionários </t>
  </si>
  <si>
    <t>Para organizar os horários de trabalho dos funcionários, liste primeiro todos os funcionários. Após, pinte o quadrado com o dia e turno que ele estará trabalhando. Coloque um "F" nos dias e turnos que ele estará de folga. Você pode editar as informações de turnos de trabalho de acordo com o que acontece no seu condomínio.</t>
  </si>
  <si>
    <t xml:space="preserve">Funcionários e lançamento de férias </t>
  </si>
  <si>
    <t xml:space="preserve">As abas Funcionários e Lançamentos de férias são interligadas. Ou seja, funcionam de modo conjunto. Para controle de férias e funcionários, você deve adicionar o nome do funcionário e a data de início. Quando este solicitar férias, você deve selecioná-lo na aba Lançamento de férias, adicionar a data de início e final de férias. A planilha calculará o saldo atual de férias daquele funcionário. </t>
  </si>
  <si>
    <t>Planilha Financeira do Condomínio:</t>
  </si>
  <si>
    <t>FERNANDO LONA</t>
  </si>
  <si>
    <t>Responsável:</t>
  </si>
  <si>
    <t>crisjessi10@icloud.com</t>
  </si>
  <si>
    <t>Ano de Referência:</t>
  </si>
  <si>
    <t>Mês</t>
  </si>
  <si>
    <t>SALDO Total (Caixa)</t>
  </si>
  <si>
    <t>RECEITAS</t>
  </si>
  <si>
    <t>Cotas Condominiais (Até dia 08)</t>
  </si>
  <si>
    <t>Rendimentos</t>
  </si>
  <si>
    <t>DESPESAS FIXAS</t>
  </si>
  <si>
    <t>Outras</t>
  </si>
  <si>
    <t>DESPESAS VARIÁVEIS</t>
  </si>
  <si>
    <t>Água (venc. Dia 10)</t>
  </si>
  <si>
    <t>Luz  (venc. Dia 21)</t>
  </si>
  <si>
    <t xml:space="preserve">Faxina </t>
  </si>
  <si>
    <t>DESPESAS EXTRAS</t>
  </si>
  <si>
    <t>Obras</t>
  </si>
  <si>
    <t>Consertos</t>
  </si>
  <si>
    <t>SALDO DETALHADO - BALANCETE</t>
  </si>
  <si>
    <t>Receitas</t>
  </si>
  <si>
    <t>Rendimento</t>
  </si>
  <si>
    <t>Despesas Variáveis</t>
  </si>
  <si>
    <t>Despesas Extras</t>
  </si>
  <si>
    <t>Saldo do Mês</t>
  </si>
  <si>
    <t>Outras (Encanamento Garagem)</t>
  </si>
  <si>
    <t xml:space="preserve">despesa Fabricio </t>
  </si>
  <si>
    <t>Informações detalhadas sobre o pagamento do condomínio</t>
  </si>
  <si>
    <t>Número de apartamentos:</t>
  </si>
  <si>
    <t>Apartamento</t>
  </si>
  <si>
    <t>Total</t>
  </si>
  <si>
    <t>CONTROLE DE MANUTENÇÕES</t>
  </si>
  <si>
    <t xml:space="preserve">Item </t>
  </si>
  <si>
    <t xml:space="preserve">Data </t>
  </si>
  <si>
    <t>Em ordem? S/N</t>
  </si>
  <si>
    <t xml:space="preserve">Descrição </t>
  </si>
  <si>
    <t xml:space="preserve">Providências </t>
  </si>
  <si>
    <t>Valor</t>
  </si>
  <si>
    <t xml:space="preserve">Extintores </t>
  </si>
  <si>
    <t xml:space="preserve">Luz de emergência </t>
  </si>
  <si>
    <t xml:space="preserve">Iluminação </t>
  </si>
  <si>
    <t xml:space="preserve">Interfones </t>
  </si>
  <si>
    <t>Lixeira</t>
  </si>
  <si>
    <t xml:space="preserve">Escadarias </t>
  </si>
  <si>
    <t xml:space="preserve">Pinturas </t>
  </si>
  <si>
    <t>Cerca Elétrica</t>
  </si>
  <si>
    <t xml:space="preserve">Limpeza geral </t>
  </si>
  <si>
    <t xml:space="preserve">lavagem da garagem </t>
  </si>
  <si>
    <t xml:space="preserve">Lavagem da garagem </t>
  </si>
  <si>
    <t>Detetização</t>
  </si>
  <si>
    <t xml:space="preserve">Garagem </t>
  </si>
  <si>
    <t xml:space="preserve">Piso </t>
  </si>
  <si>
    <t>Sistema de segurança (câmeras)</t>
  </si>
  <si>
    <t>Instalações de gás</t>
  </si>
  <si>
    <t xml:space="preserve">Caixa de luz </t>
  </si>
  <si>
    <t>Pintura fachadas</t>
  </si>
  <si>
    <t xml:space="preserve">OUTROS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</si>
</sst>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6" formatCode="&quot;R$&quot;\ #,##0;[Red]\-&quot;R$&quot;\ #,##0"/>
    <numFmt numFmtId="7" formatCode="&quot;R$&quot;\ #,##0.00;\-&quot;R$&quot;\ #,##0.00"/>
    <numFmt numFmtId="8" formatCode="&quot;R$&quot;\ #,##0.00;[Red]\-&quot;R$&quot;\ #,##0.00"/>
    <numFmt numFmtId="164" formatCode="&quot;R$&quot;#,##0.00;[Red]\-&quot;R$&quot;#,##0.00"/>
    <numFmt numFmtId="165" formatCode="&quot;R$&quot;#,##0.00;[Red]&quot;R$&quot;#,##0.00"/>
    <numFmt numFmtId="166" formatCode="&quot;R$&quot;\ #,##0.00"/>
  </numFmts>
  <fonts count="30" x14ac:knownFonts="1">
    <font>
      <sz val="10"/>
      <color rgb="FF000000"/>
      <name val="Arial"/>
      <scheme val="minor"/>
    </font>
    <font>
      <sz val="12"/>
      <color rgb="FFFFFFFF"/>
      <name val="Calibri"/>
    </font>
    <font>
      <b/>
      <sz val="14"/>
      <color rgb="FF000000"/>
      <name val="Calibri"/>
    </font>
    <font>
      <sz val="10"/>
      <name val="Arial"/>
    </font>
    <font>
      <b/>
      <u/>
      <sz val="11"/>
      <color rgb="FF0000FF"/>
      <name val="Calibri"/>
    </font>
    <font>
      <sz val="13"/>
      <color rgb="FFFFFFFF"/>
      <name val="Calibri"/>
    </font>
    <font>
      <i/>
      <sz val="11"/>
      <color rgb="FFFFFFFF"/>
      <name val="Calibri"/>
    </font>
    <font>
      <sz val="10"/>
      <color theme="1"/>
      <name val="Calibri"/>
    </font>
    <font>
      <sz val="12"/>
      <color theme="1"/>
      <name val="Calibri"/>
    </font>
    <font>
      <sz val="11"/>
      <color rgb="FF000000"/>
      <name val="Calibri"/>
    </font>
    <font>
      <b/>
      <sz val="11"/>
      <color rgb="FF000000"/>
      <name val="Calibri"/>
    </font>
    <font>
      <u/>
      <sz val="10"/>
      <color theme="10"/>
      <name val="Arial"/>
    </font>
    <font>
      <sz val="11"/>
      <color theme="1"/>
      <name val="Calibri"/>
    </font>
    <font>
      <b/>
      <sz val="11"/>
      <color theme="1"/>
      <name val="Calibri"/>
    </font>
    <font>
      <b/>
      <sz val="11"/>
      <color rgb="FF006411"/>
      <name val="Calibri"/>
    </font>
    <font>
      <b/>
      <sz val="10"/>
      <color rgb="FF006600"/>
      <name val="Arial"/>
    </font>
    <font>
      <sz val="14"/>
      <color theme="1"/>
      <name val="Calibri"/>
    </font>
    <font>
      <sz val="10"/>
      <color rgb="FF000000"/>
      <name val="Arial"/>
    </font>
    <font>
      <sz val="10"/>
      <color rgb="FF000000"/>
      <name val="Calibri"/>
    </font>
    <font>
      <b/>
      <sz val="10"/>
      <color rgb="FF000000"/>
      <name val="Calibri"/>
    </font>
    <font>
      <b/>
      <sz val="10"/>
      <color theme="1"/>
      <name val="Calibri"/>
    </font>
    <font>
      <b/>
      <sz val="10"/>
      <color rgb="FF006411"/>
      <name val="Calibri"/>
    </font>
    <font>
      <sz val="10"/>
      <color rgb="FFFF0000"/>
      <name val="Arial"/>
    </font>
    <font>
      <b/>
      <sz val="12"/>
      <color theme="1"/>
      <name val="Calibri"/>
    </font>
    <font>
      <b/>
      <sz val="12"/>
      <color rgb="FFDD0806"/>
      <name val="Calibri"/>
    </font>
    <font>
      <sz val="12"/>
      <color rgb="FF000000"/>
      <name val="Calibri"/>
    </font>
    <font>
      <i/>
      <sz val="12"/>
      <color theme="1"/>
      <name val="Calibri"/>
    </font>
    <font>
      <sz val="11"/>
      <color rgb="FFFFFFFF"/>
      <name val="Calibri"/>
    </font>
    <font>
      <u/>
      <sz val="10"/>
      <color rgb="FF000000"/>
      <name val="Calibri"/>
      <family val="2"/>
    </font>
    <font>
      <b/>
      <u/>
      <sz val="10"/>
      <color rgb="FF006411"/>
      <name val="Calibri"/>
      <family val="2"/>
    </font>
  </fonts>
  <fills count="15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7EBC0A"/>
        <bgColor rgb="FF7EBC0A"/>
      </patternFill>
    </fill>
    <fill>
      <patternFill patternType="solid">
        <fgColor rgb="FF5D837E"/>
        <bgColor rgb="FF5D837E"/>
      </patternFill>
    </fill>
    <fill>
      <patternFill patternType="solid">
        <fgColor rgb="FFD8D8D8"/>
        <bgColor rgb="FFD8D8D8"/>
      </patternFill>
    </fill>
    <fill>
      <patternFill patternType="solid">
        <fgColor rgb="FFC6D9F0"/>
        <bgColor rgb="FFC6D9F0"/>
      </patternFill>
    </fill>
    <fill>
      <patternFill patternType="solid">
        <fgColor rgb="FFCCFFCC"/>
        <bgColor rgb="FFCCFFCC"/>
      </patternFill>
    </fill>
    <fill>
      <patternFill patternType="solid">
        <fgColor rgb="FF8DB3E2"/>
        <bgColor rgb="FF8DB3E2"/>
      </patternFill>
    </fill>
    <fill>
      <patternFill patternType="solid">
        <fgColor rgb="FFFABF8F"/>
        <bgColor rgb="FFFABF8F"/>
      </patternFill>
    </fill>
    <fill>
      <patternFill patternType="solid">
        <fgColor rgb="FFFCF305"/>
        <bgColor rgb="FFFCF305"/>
      </patternFill>
    </fill>
    <fill>
      <patternFill patternType="solid">
        <fgColor rgb="FFBFBFBF"/>
        <bgColor rgb="FFBFBFBF"/>
      </patternFill>
    </fill>
    <fill>
      <patternFill patternType="solid">
        <fgColor rgb="FF8BB3AD"/>
        <bgColor rgb="FF8BB3AD"/>
      </patternFill>
    </fill>
    <fill>
      <patternFill patternType="solid">
        <fgColor rgb="FFEFEFEF"/>
        <bgColor rgb="FFEFEFEF"/>
      </patternFill>
    </fill>
  </fills>
  <borders count="56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medium">
        <color rgb="FFFFFFFF"/>
      </bottom>
      <diagonal/>
    </border>
    <border>
      <left style="thin">
        <color rgb="FF666666"/>
      </left>
      <right/>
      <top style="thin">
        <color rgb="FF666666"/>
      </top>
      <bottom/>
      <diagonal/>
    </border>
    <border>
      <left/>
      <right/>
      <top style="thin">
        <color rgb="FF666666"/>
      </top>
      <bottom/>
      <diagonal/>
    </border>
    <border>
      <left/>
      <right style="thin">
        <color rgb="FF666666"/>
      </right>
      <top style="thin">
        <color rgb="FF666666"/>
      </top>
      <bottom/>
      <diagonal/>
    </border>
    <border>
      <left/>
      <right/>
      <top style="medium">
        <color rgb="FFFFFFFF"/>
      </top>
      <bottom style="medium">
        <color rgb="FFFFFFFF"/>
      </bottom>
      <diagonal/>
    </border>
    <border>
      <left style="thin">
        <color rgb="FF666666"/>
      </left>
      <right/>
      <top/>
      <bottom/>
      <diagonal/>
    </border>
    <border>
      <left/>
      <right/>
      <top/>
      <bottom/>
      <diagonal/>
    </border>
    <border>
      <left/>
      <right style="thin">
        <color rgb="FF666666"/>
      </right>
      <top/>
      <bottom/>
      <diagonal/>
    </border>
    <border>
      <left style="thin">
        <color rgb="FF666666"/>
      </left>
      <right/>
      <top/>
      <bottom style="thin">
        <color rgb="FF999999"/>
      </bottom>
      <diagonal/>
    </border>
    <border>
      <left/>
      <right/>
      <top/>
      <bottom style="thin">
        <color rgb="FF999999"/>
      </bottom>
      <diagonal/>
    </border>
    <border>
      <left/>
      <right/>
      <top/>
      <bottom style="thin">
        <color rgb="FF999999"/>
      </bottom>
      <diagonal/>
    </border>
    <border>
      <left/>
      <right style="thin">
        <color rgb="FF666666"/>
      </right>
      <top/>
      <bottom style="thin">
        <color rgb="FF999999"/>
      </bottom>
      <diagonal/>
    </border>
    <border>
      <left style="thin">
        <color rgb="FF666666"/>
      </left>
      <right/>
      <top/>
      <bottom/>
      <diagonal/>
    </border>
    <border>
      <left/>
      <right style="thin">
        <color rgb="FF666666"/>
      </right>
      <top/>
      <bottom/>
      <diagonal/>
    </border>
    <border>
      <left style="thin">
        <color rgb="FF666666"/>
      </left>
      <right/>
      <top/>
      <bottom style="thin">
        <color rgb="FF666666"/>
      </bottom>
      <diagonal/>
    </border>
    <border>
      <left/>
      <right/>
      <top/>
      <bottom style="thin">
        <color rgb="FF666666"/>
      </bottom>
      <diagonal/>
    </border>
    <border>
      <left/>
      <right style="thin">
        <color rgb="FF666666"/>
      </right>
      <top/>
      <bottom style="thin">
        <color rgb="FF666666"/>
      </bottom>
      <diagonal/>
    </border>
    <border>
      <left/>
      <right style="medium">
        <color rgb="FFFFFFFF"/>
      </right>
      <top style="medium">
        <color rgb="FFFFFFFF"/>
      </top>
      <bottom style="medium">
        <color rgb="FFFFFFFF"/>
      </bottom>
      <diagonal/>
    </border>
    <border>
      <left style="medium">
        <color rgb="FFFFFFFF"/>
      </left>
      <right style="medium">
        <color rgb="FFFFFFFF"/>
      </right>
      <top/>
      <bottom style="medium">
        <color rgb="FFFFFFFF"/>
      </bottom>
      <diagonal/>
    </border>
    <border>
      <left style="medium">
        <color rgb="FFFFFFFF"/>
      </left>
      <right/>
      <top style="medium">
        <color rgb="FFFFFFFF"/>
      </top>
      <bottom style="medium">
        <color rgb="FFFFFFFF"/>
      </bottom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/>
      <diagonal/>
    </border>
    <border>
      <left/>
      <right style="thin">
        <color rgb="FFFFFFFF"/>
      </right>
      <top/>
      <bottom style="thin">
        <color rgb="FFFFFFFF"/>
      </bottom>
      <diagonal/>
    </border>
    <border>
      <left style="thin">
        <color rgb="FFFFFFFF"/>
      </left>
      <right style="thin">
        <color rgb="FFFFFFFF"/>
      </right>
      <top/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/>
      <bottom/>
      <diagonal/>
    </border>
    <border>
      <left style="thin">
        <color rgb="FFFFFFFF"/>
      </left>
      <right style="thin">
        <color rgb="FFFFFFFF"/>
      </right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/>
      <diagonal/>
    </border>
    <border>
      <left style="thin">
        <color rgb="FFFFFFFF"/>
      </left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FFFFFF"/>
      </bottom>
      <diagonal/>
    </border>
    <border>
      <left/>
      <right/>
      <top style="thin">
        <color rgb="FFFFFFFF"/>
      </top>
      <bottom style="thin">
        <color rgb="FFFFFFFF"/>
      </bottom>
      <diagonal/>
    </border>
    <border>
      <left/>
      <right/>
      <top style="thin">
        <color rgb="FFFFFFFF"/>
      </top>
      <bottom/>
      <diagonal/>
    </border>
    <border>
      <left/>
      <right/>
      <top style="thin">
        <color rgb="FF666666"/>
      </top>
      <bottom style="thin">
        <color rgb="FF666666"/>
      </bottom>
      <diagonal/>
    </border>
    <border>
      <left/>
      <right/>
      <top style="thin">
        <color rgb="FF666666"/>
      </top>
      <bottom style="thin">
        <color rgb="FF666666"/>
      </bottom>
      <diagonal/>
    </border>
    <border>
      <left/>
      <right style="thin">
        <color rgb="FF666666"/>
      </right>
      <top style="thin">
        <color rgb="FF666666"/>
      </top>
      <bottom style="thin">
        <color rgb="FF666666"/>
      </bottom>
      <diagonal/>
    </border>
    <border>
      <left style="thin">
        <color rgb="FFB7B7B7"/>
      </left>
      <right/>
      <top/>
      <bottom/>
      <diagonal/>
    </border>
    <border>
      <left/>
      <right style="thin">
        <color rgb="FFB7B7B7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FFFFFF"/>
      </top>
      <bottom style="thin">
        <color rgb="FFFFFFFF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B7B7B7"/>
      </left>
      <right/>
      <top style="thin">
        <color rgb="FF000000"/>
      </top>
      <bottom style="thin">
        <color rgb="FF000000"/>
      </bottom>
      <diagonal/>
    </border>
    <border>
      <left style="thin">
        <color rgb="FFB7B7B7"/>
      </left>
      <right/>
      <top/>
      <bottom style="thin">
        <color rgb="FFB7B7B7"/>
      </bottom>
      <diagonal/>
    </border>
    <border>
      <left/>
      <right/>
      <top/>
      <bottom style="thin">
        <color rgb="FFB7B7B7"/>
      </bottom>
      <diagonal/>
    </border>
  </borders>
  <cellStyleXfs count="1">
    <xf numFmtId="0" fontId="0" fillId="0" borderId="0"/>
  </cellStyleXfs>
  <cellXfs count="156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1" fillId="2" borderId="5" xfId="0" applyFont="1" applyFill="1" applyBorder="1" applyAlignment="1">
      <alignment horizontal="center" vertical="center" wrapText="1"/>
    </xf>
    <xf numFmtId="0" fontId="1" fillId="2" borderId="9" xfId="0" applyFont="1" applyFill="1" applyBorder="1" applyAlignment="1">
      <alignment horizontal="center" vertical="center" wrapText="1"/>
    </xf>
    <xf numFmtId="0" fontId="6" fillId="2" borderId="9" xfId="0" applyFont="1" applyFill="1" applyBorder="1" applyAlignment="1">
      <alignment horizontal="center" vertical="center" wrapText="1"/>
    </xf>
    <xf numFmtId="0" fontId="6" fillId="5" borderId="13" xfId="0" applyFont="1" applyFill="1" applyBorder="1" applyAlignment="1">
      <alignment horizontal="center" vertical="center" wrapText="1"/>
    </xf>
    <xf numFmtId="0" fontId="7" fillId="2" borderId="9" xfId="0" applyFont="1" applyFill="1" applyBorder="1" applyAlignment="1">
      <alignment horizontal="center" vertical="center" wrapText="1"/>
    </xf>
    <xf numFmtId="0" fontId="7" fillId="2" borderId="22" xfId="0" applyFont="1" applyFill="1" applyBorder="1" applyAlignment="1">
      <alignment vertical="center" wrapText="1"/>
    </xf>
    <xf numFmtId="0" fontId="7" fillId="0" borderId="23" xfId="0" applyFont="1" applyBorder="1" applyAlignment="1">
      <alignment vertical="center" wrapText="1"/>
    </xf>
    <xf numFmtId="0" fontId="7" fillId="2" borderId="24" xfId="0" applyFont="1" applyFill="1" applyBorder="1" applyAlignment="1">
      <alignment vertical="center" wrapText="1"/>
    </xf>
    <xf numFmtId="0" fontId="7" fillId="0" borderId="25" xfId="0" applyFont="1" applyBorder="1" applyAlignment="1">
      <alignment vertical="center" wrapText="1"/>
    </xf>
    <xf numFmtId="0" fontId="10" fillId="0" borderId="0" xfId="0" applyFont="1" applyAlignment="1">
      <alignment horizontal="center" vertical="center"/>
    </xf>
    <xf numFmtId="0" fontId="8" fillId="0" borderId="26" xfId="0" applyFont="1" applyBorder="1" applyAlignment="1">
      <alignment vertical="center"/>
    </xf>
    <xf numFmtId="0" fontId="8" fillId="0" borderId="27" xfId="0" applyFont="1" applyBorder="1" applyAlignment="1">
      <alignment vertical="center"/>
    </xf>
    <xf numFmtId="0" fontId="9" fillId="0" borderId="0" xfId="0" applyFont="1" applyAlignment="1">
      <alignment horizontal="right" vertical="center"/>
    </xf>
    <xf numFmtId="0" fontId="8" fillId="0" borderId="28" xfId="0" applyFont="1" applyBorder="1" applyAlignment="1">
      <alignment vertical="center"/>
    </xf>
    <xf numFmtId="0" fontId="8" fillId="0" borderId="29" xfId="0" applyFont="1" applyBorder="1" applyAlignment="1">
      <alignment vertical="center"/>
    </xf>
    <xf numFmtId="0" fontId="8" fillId="0" borderId="30" xfId="0" applyFont="1" applyBorder="1" applyAlignment="1">
      <alignment vertical="center"/>
    </xf>
    <xf numFmtId="0" fontId="8" fillId="0" borderId="31" xfId="0" applyFont="1" applyBorder="1" applyAlignment="1">
      <alignment vertical="center"/>
    </xf>
    <xf numFmtId="0" fontId="8" fillId="0" borderId="32" xfId="0" applyFont="1" applyBorder="1" applyAlignment="1">
      <alignment vertical="center"/>
    </xf>
    <xf numFmtId="0" fontId="13" fillId="0" borderId="0" xfId="0" applyFont="1" applyAlignment="1">
      <alignment vertical="center"/>
    </xf>
    <xf numFmtId="0" fontId="10" fillId="6" borderId="1" xfId="0" applyFont="1" applyFill="1" applyBorder="1" applyAlignment="1">
      <alignment horizontal="center" vertical="center"/>
    </xf>
    <xf numFmtId="0" fontId="10" fillId="7" borderId="1" xfId="0" applyFont="1" applyFill="1" applyBorder="1" applyAlignment="1">
      <alignment vertical="center"/>
    </xf>
    <xf numFmtId="164" fontId="14" fillId="8" borderId="1" xfId="0" applyNumberFormat="1" applyFont="1" applyFill="1" applyBorder="1" applyAlignment="1">
      <alignment horizontal="right" vertical="center"/>
    </xf>
    <xf numFmtId="164" fontId="15" fillId="8" borderId="1" xfId="0" applyNumberFormat="1" applyFont="1" applyFill="1" applyBorder="1" applyAlignment="1">
      <alignment horizontal="right" vertical="center"/>
    </xf>
    <xf numFmtId="165" fontId="8" fillId="0" borderId="31" xfId="0" applyNumberFormat="1" applyFont="1" applyBorder="1" applyAlignment="1">
      <alignment vertical="center"/>
    </xf>
    <xf numFmtId="165" fontId="8" fillId="0" borderId="33" xfId="0" applyNumberFormat="1" applyFont="1" applyBorder="1" applyAlignment="1">
      <alignment vertical="center"/>
    </xf>
    <xf numFmtId="0" fontId="10" fillId="9" borderId="34" xfId="0" applyFont="1" applyFill="1" applyBorder="1" applyAlignment="1">
      <alignment vertical="center"/>
    </xf>
    <xf numFmtId="164" fontId="10" fillId="9" borderId="34" xfId="0" applyNumberFormat="1" applyFont="1" applyFill="1" applyBorder="1" applyAlignment="1">
      <alignment horizontal="right" vertical="center"/>
    </xf>
    <xf numFmtId="0" fontId="9" fillId="0" borderId="35" xfId="0" applyFont="1" applyBorder="1" applyAlignment="1">
      <alignment vertical="center"/>
    </xf>
    <xf numFmtId="164" fontId="12" fillId="0" borderId="0" xfId="0" applyNumberFormat="1" applyFont="1" applyAlignment="1">
      <alignment horizontal="right"/>
    </xf>
    <xf numFmtId="164" fontId="12" fillId="0" borderId="36" xfId="0" applyNumberFormat="1" applyFont="1" applyBorder="1" applyAlignment="1">
      <alignment horizontal="right"/>
    </xf>
    <xf numFmtId="164" fontId="8" fillId="0" borderId="36" xfId="0" applyNumberFormat="1" applyFont="1" applyBorder="1" applyAlignment="1">
      <alignment vertical="center"/>
    </xf>
    <xf numFmtId="164" fontId="8" fillId="0" borderId="37" xfId="0" applyNumberFormat="1" applyFont="1" applyBorder="1" applyAlignment="1">
      <alignment vertical="center"/>
    </xf>
    <xf numFmtId="164" fontId="16" fillId="0" borderId="37" xfId="0" applyNumberFormat="1" applyFont="1" applyBorder="1" applyAlignment="1">
      <alignment vertical="center"/>
    </xf>
    <xf numFmtId="0" fontId="10" fillId="10" borderId="34" xfId="0" applyFont="1" applyFill="1" applyBorder="1" applyAlignment="1">
      <alignment vertical="center"/>
    </xf>
    <xf numFmtId="164" fontId="10" fillId="10" borderId="34" xfId="0" applyNumberFormat="1" applyFont="1" applyFill="1" applyBorder="1" applyAlignment="1">
      <alignment horizontal="right" vertical="center"/>
    </xf>
    <xf numFmtId="164" fontId="9" fillId="0" borderId="37" xfId="0" applyNumberFormat="1" applyFont="1" applyBorder="1" applyAlignment="1">
      <alignment horizontal="right" vertical="center"/>
    </xf>
    <xf numFmtId="164" fontId="12" fillId="0" borderId="37" xfId="0" applyNumberFormat="1" applyFont="1" applyBorder="1" applyAlignment="1">
      <alignment vertical="center"/>
    </xf>
    <xf numFmtId="166" fontId="17" fillId="0" borderId="0" xfId="0" applyNumberFormat="1" applyFont="1"/>
    <xf numFmtId="0" fontId="10" fillId="7" borderId="34" xfId="0" applyFont="1" applyFill="1" applyBorder="1" applyAlignment="1">
      <alignment vertical="center"/>
    </xf>
    <xf numFmtId="164" fontId="8" fillId="7" borderId="34" xfId="0" applyNumberFormat="1" applyFont="1" applyFill="1" applyBorder="1" applyAlignment="1">
      <alignment vertical="center"/>
    </xf>
    <xf numFmtId="164" fontId="12" fillId="0" borderId="37" xfId="0" applyNumberFormat="1" applyFont="1" applyBorder="1" applyAlignment="1">
      <alignment horizontal="right" vertical="center"/>
    </xf>
    <xf numFmtId="0" fontId="7" fillId="0" borderId="0" xfId="0" applyFont="1" applyAlignment="1">
      <alignment vertical="center"/>
    </xf>
    <xf numFmtId="0" fontId="19" fillId="0" borderId="0" xfId="0" applyFont="1" applyAlignment="1">
      <alignment horizontal="center" vertical="center"/>
    </xf>
    <xf numFmtId="0" fontId="7" fillId="0" borderId="26" xfId="0" applyFont="1" applyBorder="1" applyAlignment="1">
      <alignment vertical="center"/>
    </xf>
    <xf numFmtId="0" fontId="7" fillId="0" borderId="27" xfId="0" applyFont="1" applyBorder="1" applyAlignment="1">
      <alignment vertical="center"/>
    </xf>
    <xf numFmtId="0" fontId="18" fillId="0" borderId="0" xfId="0" applyFont="1" applyAlignment="1">
      <alignment horizontal="right" vertical="center"/>
    </xf>
    <xf numFmtId="0" fontId="7" fillId="0" borderId="28" xfId="0" applyFont="1" applyBorder="1" applyAlignment="1">
      <alignment vertical="center"/>
    </xf>
    <xf numFmtId="0" fontId="7" fillId="0" borderId="29" xfId="0" applyFont="1" applyBorder="1" applyAlignment="1">
      <alignment vertical="center"/>
    </xf>
    <xf numFmtId="0" fontId="7" fillId="0" borderId="0" xfId="0" applyFont="1" applyAlignment="1">
      <alignment horizontal="center" vertical="center"/>
    </xf>
    <xf numFmtId="0" fontId="7" fillId="0" borderId="30" xfId="0" applyFont="1" applyBorder="1" applyAlignment="1">
      <alignment vertical="center"/>
    </xf>
    <xf numFmtId="0" fontId="7" fillId="0" borderId="31" xfId="0" applyFont="1" applyBorder="1" applyAlignment="1">
      <alignment vertical="center"/>
    </xf>
    <xf numFmtId="0" fontId="7" fillId="0" borderId="32" xfId="0" applyFont="1" applyBorder="1" applyAlignment="1">
      <alignment vertical="center"/>
    </xf>
    <xf numFmtId="0" fontId="20" fillId="0" borderId="0" xfId="0" applyFont="1" applyAlignment="1">
      <alignment vertical="center"/>
    </xf>
    <xf numFmtId="0" fontId="19" fillId="6" borderId="1" xfId="0" applyFont="1" applyFill="1" applyBorder="1" applyAlignment="1">
      <alignment horizontal="center" vertical="center"/>
    </xf>
    <xf numFmtId="0" fontId="19" fillId="7" borderId="1" xfId="0" applyFont="1" applyFill="1" applyBorder="1" applyAlignment="1">
      <alignment vertical="center"/>
    </xf>
    <xf numFmtId="164" fontId="21" fillId="8" borderId="1" xfId="0" applyNumberFormat="1" applyFont="1" applyFill="1" applyBorder="1" applyAlignment="1">
      <alignment horizontal="right" vertical="center"/>
    </xf>
    <xf numFmtId="165" fontId="7" fillId="0" borderId="31" xfId="0" applyNumberFormat="1" applyFont="1" applyBorder="1" applyAlignment="1">
      <alignment vertical="center"/>
    </xf>
    <xf numFmtId="165" fontId="7" fillId="0" borderId="33" xfId="0" applyNumberFormat="1" applyFont="1" applyBorder="1" applyAlignment="1">
      <alignment vertical="center"/>
    </xf>
    <xf numFmtId="0" fontId="19" fillId="9" borderId="34" xfId="0" applyFont="1" applyFill="1" applyBorder="1" applyAlignment="1">
      <alignment vertical="center"/>
    </xf>
    <xf numFmtId="164" fontId="19" fillId="9" borderId="34" xfId="0" applyNumberFormat="1" applyFont="1" applyFill="1" applyBorder="1" applyAlignment="1">
      <alignment horizontal="right" vertical="center"/>
    </xf>
    <xf numFmtId="0" fontId="18" fillId="0" borderId="35" xfId="0" applyFont="1" applyBorder="1" applyAlignment="1">
      <alignment vertical="center"/>
    </xf>
    <xf numFmtId="164" fontId="7" fillId="0" borderId="0" xfId="0" applyNumberFormat="1" applyFont="1" applyAlignment="1">
      <alignment horizontal="right"/>
    </xf>
    <xf numFmtId="164" fontId="7" fillId="0" borderId="36" xfId="0" applyNumberFormat="1" applyFont="1" applyBorder="1" applyAlignment="1">
      <alignment horizontal="right"/>
    </xf>
    <xf numFmtId="164" fontId="7" fillId="0" borderId="36" xfId="0" applyNumberFormat="1" applyFont="1" applyBorder="1" applyAlignment="1">
      <alignment vertical="center"/>
    </xf>
    <xf numFmtId="0" fontId="17" fillId="0" borderId="36" xfId="0" applyFont="1" applyBorder="1"/>
    <xf numFmtId="0" fontId="19" fillId="10" borderId="34" xfId="0" applyFont="1" applyFill="1" applyBorder="1" applyAlignment="1">
      <alignment vertical="center"/>
    </xf>
    <xf numFmtId="164" fontId="19" fillId="10" borderId="34" xfId="0" applyNumberFormat="1" applyFont="1" applyFill="1" applyBorder="1" applyAlignment="1">
      <alignment horizontal="right" vertical="center"/>
    </xf>
    <xf numFmtId="164" fontId="7" fillId="0" borderId="37" xfId="0" applyNumberFormat="1" applyFont="1" applyBorder="1" applyAlignment="1">
      <alignment vertical="center"/>
    </xf>
    <xf numFmtId="164" fontId="18" fillId="0" borderId="37" xfId="0" applyNumberFormat="1" applyFont="1" applyBorder="1" applyAlignment="1">
      <alignment horizontal="right" vertical="center"/>
    </xf>
    <xf numFmtId="0" fontId="19" fillId="7" borderId="34" xfId="0" applyFont="1" applyFill="1" applyBorder="1" applyAlignment="1">
      <alignment vertical="center"/>
    </xf>
    <xf numFmtId="164" fontId="7" fillId="7" borderId="34" xfId="0" applyNumberFormat="1" applyFont="1" applyFill="1" applyBorder="1" applyAlignment="1">
      <alignment vertical="center"/>
    </xf>
    <xf numFmtId="164" fontId="7" fillId="0" borderId="37" xfId="0" applyNumberFormat="1" applyFont="1" applyBorder="1" applyAlignment="1">
      <alignment horizontal="right" vertical="center"/>
    </xf>
    <xf numFmtId="0" fontId="19" fillId="0" borderId="0" xfId="0" applyFont="1" applyAlignment="1">
      <alignment vertical="center"/>
    </xf>
    <xf numFmtId="6" fontId="17" fillId="0" borderId="0" xfId="0" applyNumberFormat="1" applyFont="1"/>
    <xf numFmtId="8" fontId="17" fillId="0" borderId="0" xfId="0" applyNumberFormat="1" applyFont="1"/>
    <xf numFmtId="8" fontId="22" fillId="0" borderId="0" xfId="0" applyNumberFormat="1" applyFont="1"/>
    <xf numFmtId="0" fontId="23" fillId="0" borderId="0" xfId="0" applyFont="1" applyAlignment="1">
      <alignment horizontal="center"/>
    </xf>
    <xf numFmtId="0" fontId="8" fillId="0" borderId="0" xfId="0" applyFont="1"/>
    <xf numFmtId="0" fontId="24" fillId="11" borderId="36" xfId="0" applyFont="1" applyFill="1" applyBorder="1" applyAlignment="1">
      <alignment horizontal="center"/>
    </xf>
    <xf numFmtId="0" fontId="8" fillId="0" borderId="0" xfId="0" applyFont="1" applyAlignment="1">
      <alignment horizontal="center"/>
    </xf>
    <xf numFmtId="0" fontId="8" fillId="0" borderId="36" xfId="0" applyFont="1" applyBorder="1" applyAlignment="1">
      <alignment horizontal="center"/>
    </xf>
    <xf numFmtId="0" fontId="13" fillId="6" borderId="36" xfId="0" applyFont="1" applyFill="1" applyBorder="1" applyAlignment="1">
      <alignment horizontal="center"/>
    </xf>
    <xf numFmtId="17" fontId="13" fillId="6" borderId="36" xfId="0" applyNumberFormat="1" applyFont="1" applyFill="1" applyBorder="1" applyAlignment="1">
      <alignment horizontal="center"/>
    </xf>
    <xf numFmtId="166" fontId="8" fillId="0" borderId="0" xfId="0" applyNumberFormat="1" applyFont="1" applyAlignment="1">
      <alignment horizontal="center"/>
    </xf>
    <xf numFmtId="7" fontId="8" fillId="0" borderId="0" xfId="0" applyNumberFormat="1" applyFont="1" applyAlignment="1">
      <alignment horizontal="center"/>
    </xf>
    <xf numFmtId="166" fontId="25" fillId="0" borderId="0" xfId="0" applyNumberFormat="1" applyFont="1" applyAlignment="1">
      <alignment horizontal="center" vertical="center"/>
    </xf>
    <xf numFmtId="166" fontId="25" fillId="0" borderId="0" xfId="0" applyNumberFormat="1" applyFont="1" applyAlignment="1">
      <alignment horizontal="center"/>
    </xf>
    <xf numFmtId="2" fontId="25" fillId="0" borderId="0" xfId="0" applyNumberFormat="1" applyFont="1" applyAlignment="1">
      <alignment horizontal="center"/>
    </xf>
    <xf numFmtId="0" fontId="25" fillId="0" borderId="0" xfId="0" applyFont="1" applyAlignment="1">
      <alignment horizontal="center"/>
    </xf>
    <xf numFmtId="166" fontId="8" fillId="0" borderId="0" xfId="0" applyNumberFormat="1" applyFont="1" applyAlignment="1">
      <alignment horizontal="center" vertical="center"/>
    </xf>
    <xf numFmtId="166" fontId="23" fillId="0" borderId="0" xfId="0" applyNumberFormat="1" applyFont="1" applyAlignment="1">
      <alignment horizontal="center"/>
    </xf>
    <xf numFmtId="0" fontId="17" fillId="0" borderId="0" xfId="0" applyFont="1"/>
    <xf numFmtId="0" fontId="7" fillId="0" borderId="41" xfId="0" applyFont="1" applyBorder="1" applyAlignment="1">
      <alignment horizontal="center" vertical="center"/>
    </xf>
    <xf numFmtId="0" fontId="27" fillId="5" borderId="1" xfId="0" applyFont="1" applyFill="1" applyBorder="1" applyAlignment="1">
      <alignment horizontal="center" vertical="center"/>
    </xf>
    <xf numFmtId="0" fontId="27" fillId="5" borderId="1" xfId="0" applyFont="1" applyFill="1" applyBorder="1" applyAlignment="1">
      <alignment horizontal="center" vertical="center" wrapText="1"/>
    </xf>
    <xf numFmtId="0" fontId="12" fillId="0" borderId="42" xfId="0" applyFont="1" applyBorder="1" applyAlignment="1">
      <alignment horizontal="center" vertical="center"/>
    </xf>
    <xf numFmtId="0" fontId="7" fillId="0" borderId="43" xfId="0" applyFont="1" applyBorder="1"/>
    <xf numFmtId="0" fontId="7" fillId="0" borderId="42" xfId="0" applyFont="1" applyBorder="1" applyAlignment="1">
      <alignment horizontal="center" vertical="center"/>
    </xf>
    <xf numFmtId="0" fontId="7" fillId="14" borderId="47" xfId="0" applyFont="1" applyFill="1" applyBorder="1" applyAlignment="1">
      <alignment horizontal="center" vertical="center"/>
    </xf>
    <xf numFmtId="0" fontId="7" fillId="0" borderId="48" xfId="0" applyFont="1" applyBorder="1" applyAlignment="1">
      <alignment vertical="center"/>
    </xf>
    <xf numFmtId="0" fontId="7" fillId="0" borderId="42" xfId="0" applyFont="1" applyBorder="1" applyAlignment="1">
      <alignment vertical="center"/>
    </xf>
    <xf numFmtId="14" fontId="20" fillId="0" borderId="0" xfId="0" applyNumberFormat="1" applyFont="1" applyAlignment="1">
      <alignment horizontal="center" vertical="center"/>
    </xf>
    <xf numFmtId="2" fontId="7" fillId="0" borderId="48" xfId="0" applyNumberFormat="1" applyFont="1" applyBorder="1" applyAlignment="1">
      <alignment horizontal="center" vertical="center"/>
    </xf>
    <xf numFmtId="0" fontId="7" fillId="14" borderId="49" xfId="0" applyFont="1" applyFill="1" applyBorder="1" applyAlignment="1">
      <alignment horizontal="center" vertical="center"/>
    </xf>
    <xf numFmtId="0" fontId="7" fillId="0" borderId="39" xfId="0" applyFont="1" applyBorder="1" applyAlignment="1">
      <alignment horizontal="center" vertical="center"/>
    </xf>
    <xf numFmtId="0" fontId="7" fillId="2" borderId="50" xfId="0" applyFont="1" applyFill="1" applyBorder="1" applyAlignment="1">
      <alignment vertical="center"/>
    </xf>
    <xf numFmtId="0" fontId="7" fillId="14" borderId="49" xfId="0" applyFont="1" applyFill="1" applyBorder="1" applyAlignment="1">
      <alignment horizontal="center" vertical="center" wrapText="1"/>
    </xf>
    <xf numFmtId="0" fontId="7" fillId="14" borderId="51" xfId="0" applyFont="1" applyFill="1" applyBorder="1" applyAlignment="1">
      <alignment horizontal="center" vertical="center"/>
    </xf>
    <xf numFmtId="0" fontId="7" fillId="0" borderId="52" xfId="0" applyFont="1" applyBorder="1" applyAlignment="1">
      <alignment horizontal="center" vertical="center"/>
    </xf>
    <xf numFmtId="0" fontId="7" fillId="14" borderId="53" xfId="0" applyFont="1" applyFill="1" applyBorder="1" applyAlignment="1">
      <alignment horizontal="center" vertical="center"/>
    </xf>
    <xf numFmtId="14" fontId="7" fillId="0" borderId="39" xfId="0" applyNumberFormat="1" applyFont="1" applyBorder="1" applyAlignment="1">
      <alignment horizontal="center" vertical="center"/>
    </xf>
    <xf numFmtId="0" fontId="7" fillId="14" borderId="54" xfId="0" applyFont="1" applyFill="1" applyBorder="1" applyAlignment="1">
      <alignment horizontal="center" vertical="center"/>
    </xf>
    <xf numFmtId="0" fontId="7" fillId="0" borderId="55" xfId="0" applyFont="1" applyBorder="1" applyAlignment="1">
      <alignment horizontal="center" vertical="center"/>
    </xf>
    <xf numFmtId="0" fontId="17" fillId="0" borderId="0" xfId="0" applyFont="1" applyAlignment="1">
      <alignment horizontal="center"/>
    </xf>
    <xf numFmtId="164" fontId="28" fillId="0" borderId="37" xfId="0" applyNumberFormat="1" applyFont="1" applyBorder="1" applyAlignment="1">
      <alignment horizontal="right" vertical="center"/>
    </xf>
    <xf numFmtId="0" fontId="7" fillId="0" borderId="0" xfId="0" applyFont="1" applyAlignment="1">
      <alignment vertical="center" wrapText="1"/>
    </xf>
    <xf numFmtId="0" fontId="0" fillId="0" borderId="0" xfId="0"/>
    <xf numFmtId="0" fontId="3" fillId="0" borderId="18" xfId="0" applyFont="1" applyBorder="1"/>
    <xf numFmtId="0" fontId="3" fillId="0" borderId="20" xfId="0" applyFont="1" applyBorder="1"/>
    <xf numFmtId="0" fontId="3" fillId="0" borderId="21" xfId="0" applyFont="1" applyBorder="1"/>
    <xf numFmtId="0" fontId="2" fillId="3" borderId="2" xfId="0" applyFont="1" applyFill="1" applyBorder="1" applyAlignment="1">
      <alignment horizontal="center" vertical="center" wrapText="1"/>
    </xf>
    <xf numFmtId="0" fontId="3" fillId="0" borderId="3" xfId="0" applyFont="1" applyBorder="1"/>
    <xf numFmtId="0" fontId="3" fillId="0" borderId="4" xfId="0" applyFont="1" applyBorder="1"/>
    <xf numFmtId="0" fontId="4" fillId="3" borderId="2" xfId="0" applyFont="1" applyFill="1" applyBorder="1" applyAlignment="1">
      <alignment horizontal="center" vertical="center" wrapText="1"/>
    </xf>
    <xf numFmtId="0" fontId="5" fillId="4" borderId="6" xfId="0" applyFont="1" applyFill="1" applyBorder="1" applyAlignment="1">
      <alignment horizontal="center" vertical="center" wrapText="1"/>
    </xf>
    <xf numFmtId="0" fontId="3" fillId="0" borderId="7" xfId="0" applyFont="1" applyBorder="1"/>
    <xf numFmtId="0" fontId="3" fillId="0" borderId="8" xfId="0" applyFont="1" applyBorder="1"/>
    <xf numFmtId="0" fontId="3" fillId="0" borderId="10" xfId="0" applyFont="1" applyBorder="1"/>
    <xf numFmtId="0" fontId="3" fillId="0" borderId="11" xfId="0" applyFont="1" applyBorder="1"/>
    <xf numFmtId="0" fontId="3" fillId="0" borderId="12" xfId="0" applyFont="1" applyBorder="1"/>
    <xf numFmtId="0" fontId="6" fillId="5" borderId="14" xfId="0" applyFont="1" applyFill="1" applyBorder="1" applyAlignment="1">
      <alignment horizontal="center" vertical="center" wrapText="1"/>
    </xf>
    <xf numFmtId="0" fontId="3" fillId="0" borderId="15" xfId="0" applyFont="1" applyBorder="1"/>
    <xf numFmtId="0" fontId="3" fillId="0" borderId="16" xfId="0" applyFont="1" applyBorder="1"/>
    <xf numFmtId="0" fontId="7" fillId="0" borderId="17" xfId="0" applyFont="1" applyBorder="1" applyAlignment="1">
      <alignment horizontal="center" vertical="center" wrapText="1"/>
    </xf>
    <xf numFmtId="0" fontId="3" fillId="0" borderId="17" xfId="0" applyFont="1" applyBorder="1"/>
    <xf numFmtId="0" fontId="3" fillId="0" borderId="19" xfId="0" applyFont="1" applyBorder="1"/>
    <xf numFmtId="0" fontId="8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7" fillId="0" borderId="0" xfId="0" applyFont="1" applyAlignment="1">
      <alignment vertical="center"/>
    </xf>
    <xf numFmtId="0" fontId="18" fillId="0" borderId="0" xfId="0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23" fillId="0" borderId="0" xfId="0" applyFont="1" applyAlignment="1">
      <alignment horizontal="center"/>
    </xf>
    <xf numFmtId="0" fontId="26" fillId="12" borderId="38" xfId="0" applyFont="1" applyFill="1" applyBorder="1" applyAlignment="1">
      <alignment horizontal="center"/>
    </xf>
    <xf numFmtId="0" fontId="3" fillId="0" borderId="39" xfId="0" applyFont="1" applyBorder="1"/>
    <xf numFmtId="0" fontId="3" fillId="0" borderId="40" xfId="0" applyFont="1" applyBorder="1"/>
    <xf numFmtId="0" fontId="1" fillId="4" borderId="2" xfId="0" applyFont="1" applyFill="1" applyBorder="1" applyAlignment="1">
      <alignment horizontal="center" vertical="center"/>
    </xf>
    <xf numFmtId="0" fontId="18" fillId="13" borderId="44" xfId="0" applyFont="1" applyFill="1" applyBorder="1" applyAlignment="1">
      <alignment horizontal="center" vertical="center"/>
    </xf>
    <xf numFmtId="0" fontId="3" fillId="0" borderId="45" xfId="0" applyFont="1" applyBorder="1"/>
    <xf numFmtId="0" fontId="3" fillId="0" borderId="46" xfId="0" applyFont="1" applyBorder="1"/>
    <xf numFmtId="164" fontId="29" fillId="8" borderId="1" xfId="0" applyNumberFormat="1" applyFont="1" applyFill="1" applyBorder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contato.townsq.com.br/controle-do-condominio-aplicativo/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hyperlink" Target="mailto:crisjessi10@icloud.com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mailto:crisjessi10@icloud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M1000"/>
  <sheetViews>
    <sheetView workbookViewId="0"/>
  </sheetViews>
  <sheetFormatPr defaultColWidth="12.5703125" defaultRowHeight="15" customHeight="1" x14ac:dyDescent="0.2"/>
  <cols>
    <col min="1" max="1" width="11.42578125" customWidth="1"/>
    <col min="2" max="2" width="23.140625" customWidth="1"/>
    <col min="3" max="12" width="14.42578125" customWidth="1"/>
    <col min="13" max="13" width="11.42578125" customWidth="1"/>
  </cols>
  <sheetData>
    <row r="1" spans="1:13" ht="23.25" customHeight="1" x14ac:dyDescent="0.2">
      <c r="A1" s="1"/>
      <c r="B1" s="122" t="s">
        <v>0</v>
      </c>
      <c r="C1" s="123"/>
      <c r="D1" s="123"/>
      <c r="E1" s="123"/>
      <c r="F1" s="123"/>
      <c r="G1" s="123"/>
      <c r="H1" s="123"/>
      <c r="I1" s="123"/>
      <c r="J1" s="123"/>
      <c r="K1" s="123"/>
      <c r="L1" s="124"/>
      <c r="M1" s="1"/>
    </row>
    <row r="2" spans="1:13" ht="23.25" customHeight="1" x14ac:dyDescent="0.2">
      <c r="A2" s="1"/>
      <c r="B2" s="125" t="s">
        <v>1</v>
      </c>
      <c r="C2" s="123"/>
      <c r="D2" s="123"/>
      <c r="E2" s="123"/>
      <c r="F2" s="123"/>
      <c r="G2" s="123"/>
      <c r="H2" s="123"/>
      <c r="I2" s="123"/>
      <c r="J2" s="123"/>
      <c r="K2" s="123"/>
      <c r="L2" s="124"/>
      <c r="M2" s="1"/>
    </row>
    <row r="3" spans="1:13" ht="15.75" customHeight="1" x14ac:dyDescent="0.2">
      <c r="A3" s="2"/>
      <c r="B3" s="126" t="s">
        <v>2</v>
      </c>
      <c r="C3" s="127"/>
      <c r="D3" s="127"/>
      <c r="E3" s="127"/>
      <c r="F3" s="127"/>
      <c r="G3" s="127"/>
      <c r="H3" s="127"/>
      <c r="I3" s="127"/>
      <c r="J3" s="127"/>
      <c r="K3" s="127"/>
      <c r="L3" s="128"/>
      <c r="M3" s="2"/>
    </row>
    <row r="4" spans="1:13" ht="15.75" customHeight="1" x14ac:dyDescent="0.2">
      <c r="A4" s="3"/>
      <c r="B4" s="129"/>
      <c r="C4" s="130"/>
      <c r="D4" s="130"/>
      <c r="E4" s="130"/>
      <c r="F4" s="130"/>
      <c r="G4" s="130"/>
      <c r="H4" s="130"/>
      <c r="I4" s="130"/>
      <c r="J4" s="130"/>
      <c r="K4" s="130"/>
      <c r="L4" s="131"/>
      <c r="M4" s="3"/>
    </row>
    <row r="5" spans="1:13" ht="27" customHeight="1" x14ac:dyDescent="0.2">
      <c r="A5" s="4"/>
      <c r="B5" s="5" t="s">
        <v>3</v>
      </c>
      <c r="C5" s="132" t="s">
        <v>4</v>
      </c>
      <c r="D5" s="133"/>
      <c r="E5" s="133"/>
      <c r="F5" s="133"/>
      <c r="G5" s="133"/>
      <c r="H5" s="133"/>
      <c r="I5" s="133"/>
      <c r="J5" s="133"/>
      <c r="K5" s="133"/>
      <c r="L5" s="134"/>
      <c r="M5" s="4"/>
    </row>
    <row r="6" spans="1:13" ht="30.75" customHeight="1" x14ac:dyDescent="0.2">
      <c r="A6" s="6"/>
      <c r="B6" s="135" t="s">
        <v>5</v>
      </c>
      <c r="C6" s="117" t="s">
        <v>6</v>
      </c>
      <c r="D6" s="118"/>
      <c r="E6" s="118"/>
      <c r="F6" s="118"/>
      <c r="G6" s="118"/>
      <c r="H6" s="118"/>
      <c r="I6" s="118"/>
      <c r="J6" s="118"/>
      <c r="K6" s="118"/>
      <c r="L6" s="119"/>
      <c r="M6" s="6"/>
    </row>
    <row r="7" spans="1:13" ht="34.5" customHeight="1" x14ac:dyDescent="0.2">
      <c r="A7" s="6"/>
      <c r="B7" s="136"/>
      <c r="C7" s="118"/>
      <c r="D7" s="118"/>
      <c r="E7" s="118"/>
      <c r="F7" s="118"/>
      <c r="G7" s="118"/>
      <c r="H7" s="118"/>
      <c r="I7" s="118"/>
      <c r="J7" s="118"/>
      <c r="K7" s="118"/>
      <c r="L7" s="119"/>
      <c r="M7" s="6"/>
    </row>
    <row r="8" spans="1:13" ht="15.75" customHeight="1" x14ac:dyDescent="0.2">
      <c r="A8" s="6"/>
      <c r="B8" s="135" t="s">
        <v>7</v>
      </c>
      <c r="C8" s="117" t="s">
        <v>8</v>
      </c>
      <c r="D8" s="118"/>
      <c r="E8" s="118"/>
      <c r="F8" s="118"/>
      <c r="G8" s="118"/>
      <c r="H8" s="118"/>
      <c r="I8" s="118"/>
      <c r="J8" s="118"/>
      <c r="K8" s="118"/>
      <c r="L8" s="119"/>
      <c r="M8" s="6"/>
    </row>
    <row r="9" spans="1:13" ht="15.75" customHeight="1" x14ac:dyDescent="0.2">
      <c r="A9" s="6"/>
      <c r="B9" s="136"/>
      <c r="C9" s="118"/>
      <c r="D9" s="118"/>
      <c r="E9" s="118"/>
      <c r="F9" s="118"/>
      <c r="G9" s="118"/>
      <c r="H9" s="118"/>
      <c r="I9" s="118"/>
      <c r="J9" s="118"/>
      <c r="K9" s="118"/>
      <c r="L9" s="119"/>
      <c r="M9" s="6"/>
    </row>
    <row r="10" spans="1:13" ht="18.75" customHeight="1" x14ac:dyDescent="0.2">
      <c r="A10" s="6"/>
      <c r="B10" s="135" t="s">
        <v>9</v>
      </c>
      <c r="C10" s="117" t="s">
        <v>10</v>
      </c>
      <c r="D10" s="118"/>
      <c r="E10" s="118"/>
      <c r="F10" s="118"/>
      <c r="G10" s="118"/>
      <c r="H10" s="118"/>
      <c r="I10" s="118"/>
      <c r="J10" s="118"/>
      <c r="K10" s="118"/>
      <c r="L10" s="119"/>
      <c r="M10" s="6"/>
    </row>
    <row r="11" spans="1:13" ht="20.25" customHeight="1" x14ac:dyDescent="0.2">
      <c r="A11" s="6"/>
      <c r="B11" s="136"/>
      <c r="C11" s="118"/>
      <c r="D11" s="118"/>
      <c r="E11" s="118"/>
      <c r="F11" s="118"/>
      <c r="G11" s="118"/>
      <c r="H11" s="118"/>
      <c r="I11" s="118"/>
      <c r="J11" s="118"/>
      <c r="K11" s="118"/>
      <c r="L11" s="119"/>
      <c r="M11" s="6"/>
    </row>
    <row r="12" spans="1:13" ht="18.75" customHeight="1" x14ac:dyDescent="0.2">
      <c r="A12" s="6"/>
      <c r="B12" s="135" t="s">
        <v>11</v>
      </c>
      <c r="C12" s="117" t="s">
        <v>12</v>
      </c>
      <c r="D12" s="118"/>
      <c r="E12" s="118"/>
      <c r="F12" s="118"/>
      <c r="G12" s="118"/>
      <c r="H12" s="118"/>
      <c r="I12" s="118"/>
      <c r="J12" s="118"/>
      <c r="K12" s="118"/>
      <c r="L12" s="119"/>
      <c r="M12" s="6"/>
    </row>
    <row r="13" spans="1:13" ht="18.75" customHeight="1" x14ac:dyDescent="0.2">
      <c r="A13" s="6"/>
      <c r="B13" s="136"/>
      <c r="C13" s="118"/>
      <c r="D13" s="118"/>
      <c r="E13" s="118"/>
      <c r="F13" s="118"/>
      <c r="G13" s="118"/>
      <c r="H13" s="118"/>
      <c r="I13" s="118"/>
      <c r="J13" s="118"/>
      <c r="K13" s="118"/>
      <c r="L13" s="119"/>
      <c r="M13" s="6"/>
    </row>
    <row r="14" spans="1:13" ht="18.75" customHeight="1" x14ac:dyDescent="0.2">
      <c r="A14" s="6"/>
      <c r="B14" s="135" t="s">
        <v>13</v>
      </c>
      <c r="C14" s="117" t="s">
        <v>14</v>
      </c>
      <c r="D14" s="118"/>
      <c r="E14" s="118"/>
      <c r="F14" s="118"/>
      <c r="G14" s="118"/>
      <c r="H14" s="118"/>
      <c r="I14" s="118"/>
      <c r="J14" s="118"/>
      <c r="K14" s="118"/>
      <c r="L14" s="119"/>
      <c r="M14" s="6"/>
    </row>
    <row r="15" spans="1:13" ht="18.75" customHeight="1" x14ac:dyDescent="0.2">
      <c r="A15" s="6"/>
      <c r="B15" s="136"/>
      <c r="C15" s="118"/>
      <c r="D15" s="118"/>
      <c r="E15" s="118"/>
      <c r="F15" s="118"/>
      <c r="G15" s="118"/>
      <c r="H15" s="118"/>
      <c r="I15" s="118"/>
      <c r="J15" s="118"/>
      <c r="K15" s="118"/>
      <c r="L15" s="119"/>
      <c r="M15" s="6"/>
    </row>
    <row r="16" spans="1:13" ht="25.5" customHeight="1" x14ac:dyDescent="0.2">
      <c r="A16" s="6"/>
      <c r="B16" s="135" t="s">
        <v>15</v>
      </c>
      <c r="C16" s="117" t="s">
        <v>16</v>
      </c>
      <c r="D16" s="118"/>
      <c r="E16" s="118"/>
      <c r="F16" s="118"/>
      <c r="G16" s="118"/>
      <c r="H16" s="118"/>
      <c r="I16" s="118"/>
      <c r="J16" s="118"/>
      <c r="K16" s="118"/>
      <c r="L16" s="119"/>
      <c r="M16" s="6"/>
    </row>
    <row r="17" spans="1:13" ht="23.25" customHeight="1" x14ac:dyDescent="0.2">
      <c r="A17" s="6"/>
      <c r="B17" s="137"/>
      <c r="C17" s="120"/>
      <c r="D17" s="120"/>
      <c r="E17" s="120"/>
      <c r="F17" s="120"/>
      <c r="G17" s="120"/>
      <c r="H17" s="120"/>
      <c r="I17" s="120"/>
      <c r="J17" s="120"/>
      <c r="K17" s="120"/>
      <c r="L17" s="121"/>
      <c r="M17" s="6"/>
    </row>
    <row r="18" spans="1:13" ht="15.75" customHeight="1" x14ac:dyDescent="0.2">
      <c r="A18" s="7"/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9"/>
    </row>
    <row r="19" spans="1:13" ht="15.75" customHeight="1" x14ac:dyDescent="0.2">
      <c r="A19" s="7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9"/>
    </row>
    <row r="21" spans="1:13" ht="15.75" customHeight="1" x14ac:dyDescent="0.2"/>
    <row r="22" spans="1:13" ht="15.75" customHeight="1" x14ac:dyDescent="0.2"/>
    <row r="23" spans="1:13" ht="15.75" customHeight="1" x14ac:dyDescent="0.2"/>
    <row r="24" spans="1:13" ht="15.75" customHeight="1" x14ac:dyDescent="0.2"/>
    <row r="25" spans="1:13" ht="15.75" customHeight="1" x14ac:dyDescent="0.2"/>
    <row r="26" spans="1:13" ht="15.75" customHeight="1" x14ac:dyDescent="0.2"/>
    <row r="27" spans="1:13" ht="15.75" customHeight="1" x14ac:dyDescent="0.2"/>
    <row r="28" spans="1:13" ht="15.75" customHeight="1" x14ac:dyDescent="0.2"/>
    <row r="29" spans="1:13" ht="15.75" customHeight="1" x14ac:dyDescent="0.2"/>
    <row r="30" spans="1:13" ht="15.75" customHeight="1" x14ac:dyDescent="0.2"/>
    <row r="31" spans="1:13" ht="15.75" customHeight="1" x14ac:dyDescent="0.2"/>
    <row r="32" spans="1:13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mergeCells count="16">
    <mergeCell ref="C10:L11"/>
    <mergeCell ref="C12:L13"/>
    <mergeCell ref="C14:L15"/>
    <mergeCell ref="C16:L17"/>
    <mergeCell ref="B1:L1"/>
    <mergeCell ref="B2:L2"/>
    <mergeCell ref="B3:L4"/>
    <mergeCell ref="C5:L5"/>
    <mergeCell ref="B6:B7"/>
    <mergeCell ref="C6:L7"/>
    <mergeCell ref="C8:L9"/>
    <mergeCell ref="B8:B9"/>
    <mergeCell ref="B10:B11"/>
    <mergeCell ref="B12:B13"/>
    <mergeCell ref="B14:B15"/>
    <mergeCell ref="B16:B17"/>
  </mergeCells>
  <hyperlinks>
    <hyperlink ref="B2" r:id="rId1" xr:uid="{00000000-0004-0000-0000-000000000000}"/>
  </hyperlinks>
  <pageMargins left="0.511811024" right="0.511811024" top="0.78740157499999996" bottom="0.78740157499999996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EBC0A"/>
    <outlinePr summaryBelow="0" summaryRight="0"/>
  </sheetPr>
  <dimension ref="A1:M1000"/>
  <sheetViews>
    <sheetView workbookViewId="0"/>
  </sheetViews>
  <sheetFormatPr defaultColWidth="12.5703125" defaultRowHeight="15" customHeight="1" x14ac:dyDescent="0.2"/>
  <cols>
    <col min="1" max="1" width="33.42578125" customWidth="1"/>
    <col min="2" max="2" width="20.7109375" customWidth="1"/>
    <col min="3" max="3" width="17.85546875" customWidth="1"/>
    <col min="4" max="6" width="14.42578125" customWidth="1"/>
    <col min="7" max="7" width="17.7109375" customWidth="1"/>
    <col min="8" max="13" width="14.42578125" customWidth="1"/>
  </cols>
  <sheetData>
    <row r="1" spans="1:13" ht="15.75" customHeight="1" x14ac:dyDescent="0.2">
      <c r="A1" s="138"/>
      <c r="B1" s="139" t="s">
        <v>17</v>
      </c>
      <c r="C1" s="118"/>
      <c r="D1" s="140" t="s">
        <v>18</v>
      </c>
      <c r="E1" s="118"/>
      <c r="F1" s="118"/>
      <c r="G1" s="118"/>
      <c r="H1" s="118"/>
      <c r="I1" s="12"/>
      <c r="J1" s="13"/>
      <c r="K1" s="13"/>
      <c r="L1" s="13"/>
      <c r="M1" s="13"/>
    </row>
    <row r="2" spans="1:13" ht="15.75" customHeight="1" x14ac:dyDescent="0.2">
      <c r="A2" s="118"/>
      <c r="B2" s="139" t="s">
        <v>19</v>
      </c>
      <c r="C2" s="118"/>
      <c r="D2" s="141" t="s">
        <v>20</v>
      </c>
      <c r="E2" s="118"/>
      <c r="F2" s="118"/>
      <c r="G2" s="14" t="s">
        <v>21</v>
      </c>
      <c r="H2" s="11">
        <v>2024</v>
      </c>
      <c r="I2" s="15"/>
      <c r="J2" s="16"/>
      <c r="K2" s="16"/>
      <c r="L2" s="16"/>
      <c r="M2" s="16"/>
    </row>
    <row r="3" spans="1:13" ht="15.75" customHeight="1" x14ac:dyDescent="0.2">
      <c r="A3" s="118"/>
      <c r="B3" s="139"/>
      <c r="C3" s="118"/>
      <c r="D3" s="142"/>
      <c r="E3" s="118"/>
      <c r="F3" s="14"/>
      <c r="G3" s="142"/>
      <c r="H3" s="118"/>
      <c r="I3" s="15"/>
      <c r="J3" s="16"/>
      <c r="K3" s="16"/>
      <c r="L3" s="16"/>
      <c r="M3" s="16"/>
    </row>
    <row r="4" spans="1:13" ht="15.75" customHeight="1" x14ac:dyDescent="0.2">
      <c r="A4" s="118"/>
      <c r="B4" s="17"/>
      <c r="C4" s="18"/>
      <c r="D4" s="18"/>
      <c r="E4" s="18"/>
      <c r="F4" s="18"/>
      <c r="G4" s="18"/>
      <c r="H4" s="18"/>
      <c r="I4" s="19"/>
      <c r="J4" s="19"/>
      <c r="K4" s="19"/>
      <c r="L4" s="19"/>
      <c r="M4" s="19"/>
    </row>
    <row r="5" spans="1:13" ht="15.75" customHeight="1" x14ac:dyDescent="0.2">
      <c r="A5" s="20" t="s">
        <v>22</v>
      </c>
      <c r="B5" s="21" t="str">
        <f>CONCATENATE("Janeiro/",$H$2)</f>
        <v>Janeiro/2024</v>
      </c>
      <c r="C5" s="21" t="str">
        <f>CONCATENATE("Fevereiro/",$H$2)</f>
        <v>Fevereiro/2024</v>
      </c>
      <c r="D5" s="21" t="str">
        <f>CONCATENATE("Março/",$H$2)</f>
        <v>Março/2024</v>
      </c>
      <c r="E5" s="21" t="str">
        <f>CONCATENATE("Abril/",$H$2)</f>
        <v>Abril/2024</v>
      </c>
      <c r="F5" s="21" t="str">
        <f>CONCATENATE("Maio/",$H$2)</f>
        <v>Maio/2024</v>
      </c>
      <c r="G5" s="21" t="str">
        <f>CONCATENATE("Junho/",$H$2)</f>
        <v>Junho/2024</v>
      </c>
      <c r="H5" s="21" t="str">
        <f>CONCATENATE("Julho/",$H$2)</f>
        <v>Julho/2024</v>
      </c>
      <c r="I5" s="21" t="str">
        <f>CONCATENATE("Agosto/",$H$2)</f>
        <v>Agosto/2024</v>
      </c>
      <c r="J5" s="21" t="str">
        <f>CONCATENATE("Setembro/",$H$2)</f>
        <v>Setembro/2024</v>
      </c>
      <c r="K5" s="21" t="str">
        <f>CONCATENATE("Outubro/",$H$2)</f>
        <v>Outubro/2024</v>
      </c>
      <c r="L5" s="21" t="str">
        <f>CONCATENATE("Novembro/",$H$2)</f>
        <v>Novembro/2024</v>
      </c>
      <c r="M5" s="21" t="str">
        <f>CONCATENATE("Dezembro/",$H$2)</f>
        <v>Dezembro/2024</v>
      </c>
    </row>
    <row r="6" spans="1:13" ht="15.75" customHeight="1" x14ac:dyDescent="0.2">
      <c r="A6" s="22" t="s">
        <v>23</v>
      </c>
      <c r="B6" s="23">
        <v>0</v>
      </c>
      <c r="C6" s="23">
        <f t="shared" ref="C6:D6" si="0">B6+B31</f>
        <v>0</v>
      </c>
      <c r="D6" s="23">
        <f t="shared" si="0"/>
        <v>393.46</v>
      </c>
      <c r="E6" s="23">
        <f t="shared" ref="E6:F6" si="1">D31</f>
        <v>301.13000000000005</v>
      </c>
      <c r="F6" s="23">
        <f t="shared" si="1"/>
        <v>637.75000000000011</v>
      </c>
      <c r="G6" s="24">
        <f>F31+G8-G16</f>
        <v>1530.22</v>
      </c>
      <c r="H6" s="23">
        <f>H8-H16+G31</f>
        <v>2030.22</v>
      </c>
      <c r="I6" s="23">
        <f t="shared" ref="I6:K6" si="2">I8+H31-I16</f>
        <v>2460.2700000000004</v>
      </c>
      <c r="J6" s="23">
        <f t="shared" si="2"/>
        <v>2832.6000000000004</v>
      </c>
      <c r="K6" s="23">
        <f t="shared" si="2"/>
        <v>3177.3</v>
      </c>
      <c r="L6" s="23">
        <f t="shared" ref="L6:M6" si="3">K31+L8-L16-L21</f>
        <v>3363.27</v>
      </c>
      <c r="M6" s="23">
        <f t="shared" si="3"/>
        <v>3817.17</v>
      </c>
    </row>
    <row r="7" spans="1:13" ht="15.75" customHeight="1" x14ac:dyDescent="0.2">
      <c r="A7" s="17"/>
      <c r="B7" s="25"/>
      <c r="C7" s="25"/>
      <c r="D7" s="25"/>
      <c r="E7" s="25"/>
      <c r="F7" s="25"/>
      <c r="G7" s="25"/>
      <c r="H7" s="25"/>
      <c r="I7" s="25"/>
      <c r="J7" s="25"/>
      <c r="K7" s="25"/>
      <c r="L7" s="25"/>
      <c r="M7" s="26"/>
    </row>
    <row r="8" spans="1:13" ht="15.75" customHeight="1" x14ac:dyDescent="0.2">
      <c r="A8" s="27" t="s">
        <v>24</v>
      </c>
      <c r="B8" s="28">
        <f>SUM(B9:B11)</f>
        <v>0</v>
      </c>
      <c r="C8" s="28">
        <f t="shared" ref="C8:E8" si="4">C9</f>
        <v>600</v>
      </c>
      <c r="D8" s="28">
        <f t="shared" si="4"/>
        <v>600</v>
      </c>
      <c r="E8" s="28">
        <f t="shared" si="4"/>
        <v>600</v>
      </c>
      <c r="F8" s="28">
        <f t="shared" ref="F8:M8" si="5">SUM(F9:F11)</f>
        <v>600</v>
      </c>
      <c r="G8" s="28">
        <f t="shared" si="5"/>
        <v>600</v>
      </c>
      <c r="H8" s="28">
        <f t="shared" si="5"/>
        <v>600</v>
      </c>
      <c r="I8" s="28">
        <f t="shared" si="5"/>
        <v>600</v>
      </c>
      <c r="J8" s="28">
        <f t="shared" si="5"/>
        <v>600</v>
      </c>
      <c r="K8" s="28">
        <f t="shared" si="5"/>
        <v>600</v>
      </c>
      <c r="L8" s="28">
        <f t="shared" si="5"/>
        <v>600</v>
      </c>
      <c r="M8" s="28">
        <f t="shared" si="5"/>
        <v>600</v>
      </c>
    </row>
    <row r="9" spans="1:13" ht="15.75" customHeight="1" x14ac:dyDescent="0.25">
      <c r="A9" s="29" t="s">
        <v>25</v>
      </c>
      <c r="B9" s="30">
        <v>0</v>
      </c>
      <c r="C9" s="31">
        <v>600</v>
      </c>
      <c r="D9" s="31">
        <v>600</v>
      </c>
      <c r="E9" s="31">
        <f>TaxaCondominio!E10</f>
        <v>600</v>
      </c>
      <c r="F9" s="31">
        <f>TaxaCondominio!F10</f>
        <v>600</v>
      </c>
      <c r="G9" s="31">
        <f>TaxaCondominio!G10</f>
        <v>600</v>
      </c>
      <c r="H9" s="31">
        <f>TaxaCondominio!H10</f>
        <v>600</v>
      </c>
      <c r="I9" s="31">
        <f>TaxaCondominio!I10</f>
        <v>600</v>
      </c>
      <c r="J9" s="31">
        <f>TaxaCondominio!J10</f>
        <v>600</v>
      </c>
      <c r="K9" s="31">
        <f>TaxaCondominio!K10</f>
        <v>600</v>
      </c>
      <c r="L9" s="31">
        <f>TaxaCondominio!L10</f>
        <v>600</v>
      </c>
      <c r="M9" s="31">
        <f>TaxaCondominio!M10</f>
        <v>600</v>
      </c>
    </row>
    <row r="10" spans="1:13" ht="15.75" customHeight="1" x14ac:dyDescent="0.2">
      <c r="A10" s="29" t="s">
        <v>26</v>
      </c>
      <c r="B10" s="32">
        <v>0</v>
      </c>
      <c r="C10" s="33"/>
      <c r="D10" s="33"/>
      <c r="E10" s="33"/>
      <c r="F10" s="33"/>
      <c r="G10" s="33"/>
      <c r="H10" s="33"/>
      <c r="I10" s="34"/>
      <c r="J10" s="33"/>
      <c r="K10" s="33"/>
      <c r="L10" s="33"/>
      <c r="M10" s="33"/>
    </row>
    <row r="11" spans="1:13" ht="15.75" customHeight="1" x14ac:dyDescent="0.2">
      <c r="A11" s="17"/>
      <c r="B11" s="25"/>
      <c r="C11" s="25"/>
      <c r="D11" s="25"/>
      <c r="E11" s="25"/>
      <c r="F11" s="25"/>
      <c r="G11" s="25"/>
      <c r="H11" s="25"/>
      <c r="I11" s="25"/>
      <c r="J11" s="25"/>
      <c r="K11" s="25"/>
      <c r="L11" s="25"/>
      <c r="M11" s="26"/>
    </row>
    <row r="12" spans="1:13" ht="15.75" customHeight="1" x14ac:dyDescent="0.2">
      <c r="A12" s="17"/>
      <c r="B12" s="25"/>
      <c r="C12" s="25"/>
      <c r="D12" s="25"/>
      <c r="E12" s="25"/>
      <c r="F12" s="25"/>
      <c r="G12" s="25"/>
      <c r="H12" s="25"/>
      <c r="I12" s="25"/>
      <c r="J12" s="25"/>
      <c r="K12" s="25"/>
      <c r="L12" s="25"/>
      <c r="M12" s="26"/>
    </row>
    <row r="13" spans="1:13" ht="15.75" customHeight="1" x14ac:dyDescent="0.2">
      <c r="A13" s="35" t="s">
        <v>27</v>
      </c>
      <c r="B13" s="36">
        <f>SUM(B14:B15)</f>
        <v>0</v>
      </c>
      <c r="C13" s="36">
        <f>C14</f>
        <v>0</v>
      </c>
      <c r="D13" s="36">
        <f t="shared" ref="D13:M13" si="6">SUM(D14:D15)</f>
        <v>0</v>
      </c>
      <c r="E13" s="36">
        <f t="shared" si="6"/>
        <v>0</v>
      </c>
      <c r="F13" s="36">
        <f t="shared" si="6"/>
        <v>0</v>
      </c>
      <c r="G13" s="36">
        <f t="shared" si="6"/>
        <v>0</v>
      </c>
      <c r="H13" s="36">
        <f t="shared" si="6"/>
        <v>0</v>
      </c>
      <c r="I13" s="36">
        <f t="shared" si="6"/>
        <v>0</v>
      </c>
      <c r="J13" s="36">
        <f t="shared" si="6"/>
        <v>0</v>
      </c>
      <c r="K13" s="36">
        <f t="shared" si="6"/>
        <v>0</v>
      </c>
      <c r="L13" s="36">
        <f t="shared" si="6"/>
        <v>0</v>
      </c>
      <c r="M13" s="36">
        <f t="shared" si="6"/>
        <v>0</v>
      </c>
    </row>
    <row r="14" spans="1:13" ht="15.75" customHeight="1" x14ac:dyDescent="0.2">
      <c r="A14" s="29" t="s">
        <v>28</v>
      </c>
      <c r="B14" s="33"/>
      <c r="C14" s="33"/>
      <c r="D14" s="33"/>
      <c r="E14" s="33"/>
      <c r="F14" s="33"/>
      <c r="G14" s="33"/>
      <c r="H14" s="33"/>
      <c r="I14" s="33"/>
      <c r="J14" s="33"/>
      <c r="K14" s="33"/>
      <c r="L14" s="33"/>
      <c r="M14" s="33"/>
    </row>
    <row r="15" spans="1:13" ht="15.75" customHeight="1" x14ac:dyDescent="0.2">
      <c r="A15" s="17"/>
      <c r="B15" s="25"/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6"/>
    </row>
    <row r="16" spans="1:13" ht="15.75" customHeight="1" x14ac:dyDescent="0.2">
      <c r="A16" s="35" t="s">
        <v>29</v>
      </c>
      <c r="B16" s="36">
        <f t="shared" ref="B16:C16" si="7">B17+B18+B19</f>
        <v>0</v>
      </c>
      <c r="C16" s="36">
        <f t="shared" si="7"/>
        <v>126.72</v>
      </c>
      <c r="D16" s="36">
        <f t="shared" ref="D16:M16" si="8">SUM(D17:D20)</f>
        <v>335.63</v>
      </c>
      <c r="E16" s="36">
        <f t="shared" si="8"/>
        <v>263.38</v>
      </c>
      <c r="F16" s="36">
        <f t="shared" si="8"/>
        <v>100</v>
      </c>
      <c r="G16" s="36">
        <f t="shared" si="8"/>
        <v>207.53</v>
      </c>
      <c r="H16" s="36">
        <f t="shared" si="8"/>
        <v>100</v>
      </c>
      <c r="I16" s="36">
        <f t="shared" si="8"/>
        <v>169.95</v>
      </c>
      <c r="J16" s="36">
        <f t="shared" si="8"/>
        <v>227.67</v>
      </c>
      <c r="K16" s="36">
        <f t="shared" si="8"/>
        <v>131.45999999999998</v>
      </c>
      <c r="L16" s="36">
        <f t="shared" si="8"/>
        <v>240.23</v>
      </c>
      <c r="M16" s="36">
        <f t="shared" si="8"/>
        <v>135.6</v>
      </c>
    </row>
    <row r="17" spans="1:13" ht="15.75" customHeight="1" x14ac:dyDescent="0.2">
      <c r="A17" s="29" t="s">
        <v>30</v>
      </c>
      <c r="B17" s="37">
        <v>0</v>
      </c>
      <c r="C17" s="37">
        <v>72.05</v>
      </c>
      <c r="D17" s="38">
        <v>235.63</v>
      </c>
      <c r="E17" s="38">
        <v>61.59</v>
      </c>
      <c r="F17" s="38"/>
      <c r="G17" s="38"/>
      <c r="H17" s="38"/>
      <c r="I17" s="38">
        <v>76.62</v>
      </c>
      <c r="J17" s="38">
        <v>76.3</v>
      </c>
      <c r="K17" s="38">
        <v>76.3</v>
      </c>
      <c r="L17" s="38">
        <v>76.3</v>
      </c>
      <c r="M17" s="38">
        <v>76.3</v>
      </c>
    </row>
    <row r="18" spans="1:13" ht="15.75" customHeight="1" x14ac:dyDescent="0.2">
      <c r="A18" s="29" t="s">
        <v>31</v>
      </c>
      <c r="B18" s="37">
        <v>0</v>
      </c>
      <c r="C18" s="37">
        <v>54.67</v>
      </c>
      <c r="D18" s="38">
        <v>0</v>
      </c>
      <c r="E18" s="38">
        <v>101.79</v>
      </c>
      <c r="F18" s="38">
        <v>0</v>
      </c>
      <c r="G18" s="38">
        <v>107.53</v>
      </c>
      <c r="H18" s="38">
        <v>0</v>
      </c>
      <c r="I18" s="38">
        <v>93.33</v>
      </c>
      <c r="J18" s="38">
        <v>51.37</v>
      </c>
      <c r="K18" s="38">
        <v>55.16</v>
      </c>
      <c r="L18" s="38">
        <v>63.93</v>
      </c>
      <c r="M18" s="38">
        <v>59.3</v>
      </c>
    </row>
    <row r="19" spans="1:13" ht="15.75" customHeight="1" x14ac:dyDescent="0.2">
      <c r="A19" s="29" t="s">
        <v>32</v>
      </c>
      <c r="B19" s="38">
        <v>0</v>
      </c>
      <c r="C19" s="38">
        <v>0</v>
      </c>
      <c r="D19" s="38">
        <v>100</v>
      </c>
      <c r="E19" s="38">
        <v>100</v>
      </c>
      <c r="F19" s="38">
        <v>100</v>
      </c>
      <c r="G19" s="38">
        <v>100</v>
      </c>
      <c r="H19" s="38">
        <v>100</v>
      </c>
      <c r="I19" s="38"/>
      <c r="J19" s="38">
        <v>100</v>
      </c>
      <c r="K19" s="38"/>
      <c r="L19" s="38">
        <v>100</v>
      </c>
      <c r="M19" s="38"/>
    </row>
    <row r="20" spans="1:13" ht="15.75" customHeight="1" x14ac:dyDescent="0.2">
      <c r="A20" s="17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6"/>
    </row>
    <row r="21" spans="1:13" ht="15.75" customHeight="1" x14ac:dyDescent="0.2">
      <c r="A21" s="35" t="s">
        <v>33</v>
      </c>
      <c r="B21" s="36">
        <f>B22+B23+B24</f>
        <v>0</v>
      </c>
      <c r="C21" s="36">
        <f t="shared" ref="C21:M21" si="9">SUM(C22:C25)</f>
        <v>79.819999999999993</v>
      </c>
      <c r="D21" s="36">
        <f t="shared" si="9"/>
        <v>356.7</v>
      </c>
      <c r="E21" s="36">
        <f t="shared" si="9"/>
        <v>0</v>
      </c>
      <c r="F21" s="36">
        <f t="shared" si="9"/>
        <v>0</v>
      </c>
      <c r="G21" s="36">
        <f t="shared" si="9"/>
        <v>0</v>
      </c>
      <c r="H21" s="36">
        <f t="shared" si="9"/>
        <v>0</v>
      </c>
      <c r="I21" s="36">
        <f t="shared" si="9"/>
        <v>0</v>
      </c>
      <c r="J21" s="36">
        <f t="shared" si="9"/>
        <v>123.84</v>
      </c>
      <c r="K21" s="36">
        <f t="shared" si="9"/>
        <v>0</v>
      </c>
      <c r="L21" s="36">
        <f t="shared" si="9"/>
        <v>173.8</v>
      </c>
      <c r="M21" s="36">
        <f t="shared" si="9"/>
        <v>10.5</v>
      </c>
    </row>
    <row r="22" spans="1:13" ht="15.75" customHeight="1" x14ac:dyDescent="0.2">
      <c r="A22" s="29" t="s">
        <v>34</v>
      </c>
      <c r="B22" s="37">
        <v>0</v>
      </c>
      <c r="C22" s="33">
        <v>0</v>
      </c>
      <c r="D22" s="33">
        <v>180</v>
      </c>
      <c r="E22" s="33"/>
      <c r="F22" s="33"/>
      <c r="G22" s="33"/>
      <c r="H22" s="33"/>
      <c r="I22" s="33"/>
      <c r="J22" s="33"/>
      <c r="K22" s="33"/>
      <c r="L22" s="33"/>
      <c r="M22" s="33"/>
    </row>
    <row r="23" spans="1:13" ht="15.75" customHeight="1" x14ac:dyDescent="0.2">
      <c r="A23" s="29" t="s">
        <v>35</v>
      </c>
      <c r="B23" s="37">
        <v>0</v>
      </c>
      <c r="C23" s="33"/>
      <c r="D23" s="33"/>
      <c r="E23" s="33"/>
      <c r="F23" s="33"/>
      <c r="G23" s="33"/>
      <c r="H23" s="33"/>
      <c r="I23" s="33"/>
      <c r="J23" s="33"/>
      <c r="K23" s="33"/>
      <c r="L23" s="33"/>
      <c r="M23" s="33"/>
    </row>
    <row r="24" spans="1:13" ht="15.75" customHeight="1" x14ac:dyDescent="0.2">
      <c r="A24" s="29" t="s">
        <v>28</v>
      </c>
      <c r="B24" s="37">
        <v>0</v>
      </c>
      <c r="C24" s="33">
        <v>79.819999999999993</v>
      </c>
      <c r="D24" s="39">
        <v>176.7</v>
      </c>
      <c r="E24" s="33"/>
      <c r="F24" s="33"/>
      <c r="G24" s="33"/>
      <c r="H24" s="33"/>
      <c r="I24" s="33"/>
      <c r="J24" s="33">
        <v>123.84</v>
      </c>
      <c r="K24" s="33"/>
      <c r="L24" s="33">
        <v>173.8</v>
      </c>
      <c r="M24" s="33">
        <v>10.5</v>
      </c>
    </row>
    <row r="25" spans="1:13" ht="15.75" customHeight="1" x14ac:dyDescent="0.2">
      <c r="A25" s="17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6"/>
    </row>
    <row r="26" spans="1:13" ht="15.75" customHeight="1" x14ac:dyDescent="0.2">
      <c r="A26" s="40" t="s">
        <v>36</v>
      </c>
      <c r="B26" s="41"/>
      <c r="C26" s="41"/>
      <c r="D26" s="41"/>
      <c r="E26" s="41"/>
      <c r="F26" s="41"/>
      <c r="G26" s="41"/>
      <c r="H26" s="41"/>
      <c r="I26" s="41"/>
      <c r="J26" s="41"/>
      <c r="K26" s="41"/>
      <c r="L26" s="41"/>
      <c r="M26" s="41"/>
    </row>
    <row r="27" spans="1:13" ht="15.75" customHeight="1" x14ac:dyDescent="0.2">
      <c r="A27" s="29" t="s">
        <v>37</v>
      </c>
      <c r="B27" s="37">
        <f t="shared" ref="B27:C27" si="10">B8</f>
        <v>0</v>
      </c>
      <c r="C27" s="37">
        <f t="shared" si="10"/>
        <v>600</v>
      </c>
      <c r="D27" s="37">
        <f>D8+D6</f>
        <v>993.46</v>
      </c>
      <c r="E27" s="37">
        <f t="shared" ref="E27:I27" si="11">E8+D31</f>
        <v>901.13000000000011</v>
      </c>
      <c r="F27" s="37">
        <f t="shared" si="11"/>
        <v>1237.75</v>
      </c>
      <c r="G27" s="37">
        <f t="shared" si="11"/>
        <v>1737.75</v>
      </c>
      <c r="H27" s="37">
        <f t="shared" si="11"/>
        <v>2130.2200000000003</v>
      </c>
      <c r="I27" s="37">
        <f t="shared" si="11"/>
        <v>2630.2200000000003</v>
      </c>
      <c r="J27" s="37">
        <f t="shared" ref="J27:L27" si="12">I31+J8</f>
        <v>3060.2700000000004</v>
      </c>
      <c r="K27" s="37">
        <f t="shared" si="12"/>
        <v>3308.76</v>
      </c>
      <c r="L27" s="37">
        <f t="shared" si="12"/>
        <v>3777.3</v>
      </c>
      <c r="M27" s="37">
        <f>L31+M9</f>
        <v>3963.27</v>
      </c>
    </row>
    <row r="28" spans="1:13" ht="15.75" customHeight="1" x14ac:dyDescent="0.2">
      <c r="A28" s="29" t="s">
        <v>38</v>
      </c>
      <c r="B28" s="37">
        <f>B13</f>
        <v>0</v>
      </c>
      <c r="C28" s="37">
        <f t="shared" ref="C28:E28" si="13">C10</f>
        <v>0</v>
      </c>
      <c r="D28" s="37">
        <f t="shared" si="13"/>
        <v>0</v>
      </c>
      <c r="E28" s="37">
        <f t="shared" si="13"/>
        <v>0</v>
      </c>
      <c r="F28" s="37">
        <f t="shared" ref="F28:I28" si="14">F13</f>
        <v>0</v>
      </c>
      <c r="G28" s="37">
        <f t="shared" si="14"/>
        <v>0</v>
      </c>
      <c r="H28" s="37">
        <f t="shared" si="14"/>
        <v>0</v>
      </c>
      <c r="I28" s="37">
        <f t="shared" si="14"/>
        <v>0</v>
      </c>
      <c r="J28" s="37">
        <f t="shared" ref="J28:K28" si="15">J10</f>
        <v>0</v>
      </c>
      <c r="K28" s="37">
        <f t="shared" si="15"/>
        <v>0</v>
      </c>
      <c r="L28" s="37">
        <v>0</v>
      </c>
      <c r="M28" s="37">
        <f>M10</f>
        <v>0</v>
      </c>
    </row>
    <row r="29" spans="1:13" ht="15.75" customHeight="1" x14ac:dyDescent="0.2">
      <c r="A29" s="29" t="s">
        <v>39</v>
      </c>
      <c r="B29" s="37">
        <f t="shared" ref="B29:M29" si="16">B16</f>
        <v>0</v>
      </c>
      <c r="C29" s="37">
        <f t="shared" si="16"/>
        <v>126.72</v>
      </c>
      <c r="D29" s="37">
        <f t="shared" si="16"/>
        <v>335.63</v>
      </c>
      <c r="E29" s="37">
        <f t="shared" si="16"/>
        <v>263.38</v>
      </c>
      <c r="F29" s="37">
        <f t="shared" si="16"/>
        <v>100</v>
      </c>
      <c r="G29" s="37">
        <f t="shared" si="16"/>
        <v>207.53</v>
      </c>
      <c r="H29" s="37">
        <f t="shared" si="16"/>
        <v>100</v>
      </c>
      <c r="I29" s="37">
        <f t="shared" si="16"/>
        <v>169.95</v>
      </c>
      <c r="J29" s="37">
        <f t="shared" si="16"/>
        <v>227.67</v>
      </c>
      <c r="K29" s="37">
        <f t="shared" si="16"/>
        <v>131.45999999999998</v>
      </c>
      <c r="L29" s="37">
        <f t="shared" si="16"/>
        <v>240.23</v>
      </c>
      <c r="M29" s="37">
        <f t="shared" si="16"/>
        <v>135.6</v>
      </c>
    </row>
    <row r="30" spans="1:13" ht="15.75" customHeight="1" x14ac:dyDescent="0.2">
      <c r="A30" s="29" t="s">
        <v>40</v>
      </c>
      <c r="B30" s="37">
        <f t="shared" ref="B30:M30" si="17">B21</f>
        <v>0</v>
      </c>
      <c r="C30" s="37">
        <f t="shared" si="17"/>
        <v>79.819999999999993</v>
      </c>
      <c r="D30" s="37">
        <f t="shared" si="17"/>
        <v>356.7</v>
      </c>
      <c r="E30" s="37">
        <f t="shared" si="17"/>
        <v>0</v>
      </c>
      <c r="F30" s="37">
        <f t="shared" si="17"/>
        <v>0</v>
      </c>
      <c r="G30" s="37">
        <f t="shared" si="17"/>
        <v>0</v>
      </c>
      <c r="H30" s="37">
        <f t="shared" si="17"/>
        <v>0</v>
      </c>
      <c r="I30" s="37">
        <f t="shared" si="17"/>
        <v>0</v>
      </c>
      <c r="J30" s="37">
        <f t="shared" si="17"/>
        <v>123.84</v>
      </c>
      <c r="K30" s="37">
        <f t="shared" si="17"/>
        <v>0</v>
      </c>
      <c r="L30" s="37">
        <f t="shared" si="17"/>
        <v>173.8</v>
      </c>
      <c r="M30" s="37">
        <f t="shared" si="17"/>
        <v>10.5</v>
      </c>
    </row>
    <row r="31" spans="1:13" ht="15.75" customHeight="1" x14ac:dyDescent="0.2">
      <c r="A31" s="29" t="s">
        <v>41</v>
      </c>
      <c r="B31" s="42">
        <f t="shared" ref="B31:I31" si="18">B27+B28-B29-B30</f>
        <v>0</v>
      </c>
      <c r="C31" s="42">
        <f t="shared" si="18"/>
        <v>393.46</v>
      </c>
      <c r="D31" s="42">
        <f t="shared" si="18"/>
        <v>301.13000000000005</v>
      </c>
      <c r="E31" s="37">
        <f t="shared" si="18"/>
        <v>637.75000000000011</v>
      </c>
      <c r="F31" s="37">
        <f t="shared" si="18"/>
        <v>1137.75</v>
      </c>
      <c r="G31" s="37">
        <f t="shared" si="18"/>
        <v>1530.22</v>
      </c>
      <c r="H31" s="37">
        <f t="shared" si="18"/>
        <v>2030.2200000000003</v>
      </c>
      <c r="I31" s="37">
        <f t="shared" si="18"/>
        <v>2460.2700000000004</v>
      </c>
      <c r="J31" s="37">
        <f>J27-J29-J30</f>
        <v>2708.76</v>
      </c>
      <c r="K31" s="37">
        <f t="shared" ref="K31:M31" si="19">K27+K28-K29-K30</f>
        <v>3177.3</v>
      </c>
      <c r="L31" s="37">
        <f t="shared" si="19"/>
        <v>3363.27</v>
      </c>
      <c r="M31" s="37">
        <f t="shared" si="19"/>
        <v>3817.17</v>
      </c>
    </row>
    <row r="32" spans="1:13" ht="15.75" customHeight="1" x14ac:dyDescent="0.2">
      <c r="A32" s="17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6"/>
    </row>
    <row r="33" spans="1:13" ht="15.75" customHeight="1" x14ac:dyDescent="0.2">
      <c r="A33" s="17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6"/>
    </row>
    <row r="34" spans="1:13" ht="15.75" customHeight="1" x14ac:dyDescent="0.2"/>
    <row r="35" spans="1:13" ht="15.75" customHeight="1" x14ac:dyDescent="0.2"/>
    <row r="36" spans="1:13" ht="15.75" customHeight="1" x14ac:dyDescent="0.2"/>
    <row r="37" spans="1:13" ht="15.75" customHeight="1" x14ac:dyDescent="0.2"/>
    <row r="38" spans="1:13" ht="15.75" customHeight="1" x14ac:dyDescent="0.2"/>
    <row r="39" spans="1:13" ht="15.75" customHeight="1" x14ac:dyDescent="0.2"/>
    <row r="40" spans="1:13" ht="15.75" customHeight="1" x14ac:dyDescent="0.2"/>
    <row r="41" spans="1:13" ht="15.75" customHeight="1" x14ac:dyDescent="0.2"/>
    <row r="42" spans="1:13" ht="15.75" customHeight="1" x14ac:dyDescent="0.2"/>
    <row r="43" spans="1:13" ht="15.75" customHeight="1" x14ac:dyDescent="0.2"/>
    <row r="44" spans="1:13" ht="15.75" customHeight="1" x14ac:dyDescent="0.2"/>
    <row r="45" spans="1:13" ht="15.75" customHeight="1" x14ac:dyDescent="0.2"/>
    <row r="46" spans="1:13" ht="15.75" customHeight="1" x14ac:dyDescent="0.2"/>
    <row r="47" spans="1:13" ht="15.75" customHeight="1" x14ac:dyDescent="0.2"/>
    <row r="48" spans="1:13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mergeCells count="8">
    <mergeCell ref="A1:A4"/>
    <mergeCell ref="B1:C1"/>
    <mergeCell ref="D1:H1"/>
    <mergeCell ref="B2:C2"/>
    <mergeCell ref="D2:F2"/>
    <mergeCell ref="B3:C3"/>
    <mergeCell ref="D3:E3"/>
    <mergeCell ref="G3:H3"/>
  </mergeCells>
  <hyperlinks>
    <hyperlink ref="D2" r:id="rId1" xr:uid="{00000000-0004-0000-0100-000000000000}"/>
  </hyperlinks>
  <pageMargins left="0.511811024" right="0.511811024" top="0.78740157499999996" bottom="0.78740157499999996" header="0" footer="0"/>
  <pageSetup paperSize="9" orientation="portrait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EBC0A"/>
  </sheetPr>
  <dimension ref="A1:M1000"/>
  <sheetViews>
    <sheetView tabSelected="1" workbookViewId="0">
      <selection activeCell="L6" sqref="L6"/>
    </sheetView>
  </sheetViews>
  <sheetFormatPr defaultColWidth="12.5703125" defaultRowHeight="15" customHeight="1" x14ac:dyDescent="0.2"/>
  <cols>
    <col min="1" max="1" width="26.7109375" customWidth="1"/>
    <col min="2" max="3" width="14.7109375" customWidth="1"/>
    <col min="4" max="4" width="13" customWidth="1"/>
    <col min="5" max="5" width="11.85546875" customWidth="1"/>
    <col min="6" max="6" width="12.140625" customWidth="1"/>
    <col min="7" max="7" width="12.7109375" customWidth="1"/>
    <col min="8" max="9" width="12.42578125" customWidth="1"/>
    <col min="10" max="13" width="14.7109375" customWidth="1"/>
    <col min="14" max="26" width="8.5703125" customWidth="1"/>
  </cols>
  <sheetData>
    <row r="1" spans="1:13" ht="12.75" customHeight="1" x14ac:dyDescent="0.2">
      <c r="A1" s="143"/>
      <c r="B1" s="144" t="s">
        <v>17</v>
      </c>
      <c r="C1" s="118"/>
      <c r="D1" s="145" t="s">
        <v>18</v>
      </c>
      <c r="E1" s="118"/>
      <c r="F1" s="118"/>
      <c r="G1" s="118"/>
      <c r="H1" s="118"/>
      <c r="I1" s="45"/>
      <c r="J1" s="46"/>
      <c r="K1" s="46"/>
      <c r="L1" s="46"/>
      <c r="M1" s="46"/>
    </row>
    <row r="2" spans="1:13" ht="12.75" customHeight="1" x14ac:dyDescent="0.2">
      <c r="A2" s="118"/>
      <c r="B2" s="144" t="s">
        <v>19</v>
      </c>
      <c r="C2" s="118"/>
      <c r="D2" s="141" t="s">
        <v>20</v>
      </c>
      <c r="E2" s="118"/>
      <c r="F2" s="118"/>
      <c r="G2" s="47" t="s">
        <v>21</v>
      </c>
      <c r="H2" s="44">
        <v>2025</v>
      </c>
      <c r="I2" s="48"/>
      <c r="J2" s="49"/>
      <c r="K2" s="49"/>
      <c r="L2" s="49"/>
      <c r="M2" s="49"/>
    </row>
    <row r="3" spans="1:13" ht="12.75" customHeight="1" x14ac:dyDescent="0.2">
      <c r="A3" s="118"/>
      <c r="B3" s="144"/>
      <c r="C3" s="118"/>
      <c r="D3" s="146"/>
      <c r="E3" s="118"/>
      <c r="F3" s="47"/>
      <c r="G3" s="146"/>
      <c r="H3" s="118"/>
      <c r="I3" s="48"/>
      <c r="J3" s="49"/>
      <c r="K3" s="49"/>
      <c r="L3" s="49"/>
      <c r="M3" s="49"/>
    </row>
    <row r="4" spans="1:13" ht="12.75" customHeight="1" x14ac:dyDescent="0.2">
      <c r="A4" s="118"/>
      <c r="B4" s="51"/>
      <c r="C4" s="52"/>
      <c r="D4" s="52"/>
      <c r="E4" s="52"/>
      <c r="F4" s="52"/>
      <c r="G4" s="52"/>
      <c r="H4" s="52"/>
      <c r="I4" s="53"/>
      <c r="J4" s="53"/>
      <c r="K4" s="53"/>
      <c r="L4" s="53"/>
      <c r="M4" s="53"/>
    </row>
    <row r="5" spans="1:13" ht="12.75" customHeight="1" x14ac:dyDescent="0.2">
      <c r="A5" s="54" t="s">
        <v>22</v>
      </c>
      <c r="B5" s="55" t="str">
        <f>CONCATENATE("Janeiro/",$H$2)</f>
        <v>Janeiro/2025</v>
      </c>
      <c r="C5" s="55" t="str">
        <f>CONCATENATE("Fevereiro/",$H$2)</f>
        <v>Fevereiro/2025</v>
      </c>
      <c r="D5" s="55" t="str">
        <f>CONCATENATE("Março/",$H$2)</f>
        <v>Março/2025</v>
      </c>
      <c r="E5" s="55" t="str">
        <f>CONCATENATE("Abril/",$H$2)</f>
        <v>Abril/2025</v>
      </c>
      <c r="F5" s="55" t="str">
        <f>CONCATENATE("Maio/",$H$2)</f>
        <v>Maio/2025</v>
      </c>
      <c r="G5" s="55" t="str">
        <f>CONCATENATE("Junho/",$H$2)</f>
        <v>Junho/2025</v>
      </c>
      <c r="H5" s="55" t="str">
        <f>CONCATENATE("Julho/",$H$2)</f>
        <v>Julho/2025</v>
      </c>
      <c r="I5" s="55" t="str">
        <f>CONCATENATE("Agosto/",$H$2)</f>
        <v>Agosto/2025</v>
      </c>
      <c r="J5" s="55" t="str">
        <f>CONCATENATE("Setembro/",$H$2)</f>
        <v>Setembro/2025</v>
      </c>
      <c r="K5" s="55" t="str">
        <f>CONCATENATE("Outubro/",$H$2)</f>
        <v>Outubro/2025</v>
      </c>
      <c r="L5" s="55" t="str">
        <f>CONCATENATE("Novembro/",$H$2)</f>
        <v>Novembro/2025</v>
      </c>
      <c r="M5" s="55" t="str">
        <f>CONCATENATE("Dezembro/",$H$2)</f>
        <v>Dezembro/2025</v>
      </c>
    </row>
    <row r="6" spans="1:13" ht="12.75" customHeight="1" x14ac:dyDescent="0.2">
      <c r="A6" s="56" t="s">
        <v>23</v>
      </c>
      <c r="B6" s="57">
        <f>'Fluxo de caixa 2024'!M31+B8-B16-B21</f>
        <v>3783.1</v>
      </c>
      <c r="C6" s="57">
        <f>B31+C8+C28+-C29</f>
        <v>4048.9300000000003</v>
      </c>
      <c r="D6" s="57">
        <f t="shared" ref="D6:E6" si="0">C31+D8-D16</f>
        <v>4314.1100000000006</v>
      </c>
      <c r="E6" s="57">
        <f t="shared" si="0"/>
        <v>3680.7400000000007</v>
      </c>
      <c r="F6" s="57">
        <f t="shared" ref="F6:G6" si="1">E31+F8-F16-F21</f>
        <v>3196.8900000000008</v>
      </c>
      <c r="G6" s="57">
        <f t="shared" si="1"/>
        <v>3311.5100000000007</v>
      </c>
      <c r="H6" s="57">
        <f t="shared" ref="H6:M6" si="2">H31</f>
        <v>3425.2000000000007</v>
      </c>
      <c r="I6" s="57">
        <f t="shared" si="2"/>
        <v>3638.5300000000007</v>
      </c>
      <c r="J6" s="57">
        <f t="shared" si="2"/>
        <v>3473.87</v>
      </c>
      <c r="K6" s="57">
        <f t="shared" si="2"/>
        <v>3084.19</v>
      </c>
      <c r="L6" s="155">
        <f t="shared" si="2"/>
        <v>3221.7055555555557</v>
      </c>
      <c r="M6" s="57">
        <f t="shared" si="2"/>
        <v>3359.2211111111114</v>
      </c>
    </row>
    <row r="7" spans="1:13" ht="12.75" customHeight="1" x14ac:dyDescent="0.2">
      <c r="A7" s="51"/>
      <c r="B7" s="58"/>
      <c r="C7" s="58"/>
      <c r="D7" s="58"/>
      <c r="E7" s="58"/>
      <c r="F7" s="58"/>
      <c r="G7" s="58"/>
      <c r="H7" s="58"/>
      <c r="I7" s="58"/>
      <c r="J7" s="58"/>
      <c r="K7" s="58"/>
      <c r="L7" s="58"/>
      <c r="M7" s="59"/>
    </row>
    <row r="8" spans="1:13" ht="12.75" customHeight="1" x14ac:dyDescent="0.2">
      <c r="A8" s="60" t="s">
        <v>24</v>
      </c>
      <c r="B8" s="61">
        <f>SUM(B9:B11)</f>
        <v>600</v>
      </c>
      <c r="C8" s="61">
        <f>C9</f>
        <v>600</v>
      </c>
      <c r="D8" s="61">
        <f t="shared" ref="D8:E8" si="3">D9+D10</f>
        <v>600</v>
      </c>
      <c r="E8" s="61">
        <f t="shared" si="3"/>
        <v>600</v>
      </c>
      <c r="F8" s="61">
        <f t="shared" ref="F8:M8" si="4">SUM(F9:F11)</f>
        <v>600</v>
      </c>
      <c r="G8" s="61">
        <f t="shared" si="4"/>
        <v>600</v>
      </c>
      <c r="H8" s="61">
        <f t="shared" si="4"/>
        <v>600</v>
      </c>
      <c r="I8" s="61">
        <f t="shared" si="4"/>
        <v>600</v>
      </c>
      <c r="J8" s="61">
        <f t="shared" si="4"/>
        <v>1024.06</v>
      </c>
      <c r="K8" s="61">
        <f t="shared" si="4"/>
        <v>514.34</v>
      </c>
      <c r="L8" s="61">
        <f t="shared" si="4"/>
        <v>600</v>
      </c>
      <c r="M8" s="61">
        <f t="shared" si="4"/>
        <v>600</v>
      </c>
    </row>
    <row r="9" spans="1:13" ht="12.75" customHeight="1" x14ac:dyDescent="0.2">
      <c r="A9" s="62" t="s">
        <v>25</v>
      </c>
      <c r="B9" s="63">
        <f>TaxaCondominio!N10</f>
        <v>600</v>
      </c>
      <c r="C9" s="64">
        <f>TaxaCondominio!O10</f>
        <v>600</v>
      </c>
      <c r="D9" s="64">
        <f>TaxaCondominio!P10</f>
        <v>600</v>
      </c>
      <c r="E9" s="64">
        <f>TaxaCondominio!Q10</f>
        <v>600</v>
      </c>
      <c r="F9" s="64">
        <f>TaxaCondominio!R10</f>
        <v>600</v>
      </c>
      <c r="G9" s="64">
        <f>TaxaCondominio!S10</f>
        <v>600</v>
      </c>
      <c r="H9" s="64">
        <f>TaxaCondominio!T10</f>
        <v>600</v>
      </c>
      <c r="I9" s="64">
        <f>TaxaCondominio!U10</f>
        <v>600</v>
      </c>
      <c r="J9" s="64">
        <f>TaxaCondominio!V10</f>
        <v>600</v>
      </c>
      <c r="K9" s="64">
        <f>TaxaCondominio!W10</f>
        <v>450</v>
      </c>
      <c r="L9" s="64">
        <v>600</v>
      </c>
      <c r="M9" s="64">
        <v>600</v>
      </c>
    </row>
    <row r="10" spans="1:13" ht="12.75" customHeight="1" x14ac:dyDescent="0.2">
      <c r="A10" s="62" t="s">
        <v>26</v>
      </c>
      <c r="B10" s="65"/>
      <c r="C10" s="65"/>
      <c r="D10" s="65"/>
      <c r="E10" s="65"/>
      <c r="F10" s="66"/>
      <c r="G10" s="66"/>
      <c r="H10" s="65"/>
      <c r="I10" s="65"/>
      <c r="J10" s="65">
        <v>424.06</v>
      </c>
      <c r="K10" s="65">
        <v>64.34</v>
      </c>
      <c r="L10" s="65">
        <v>0</v>
      </c>
      <c r="M10" s="65">
        <v>0</v>
      </c>
    </row>
    <row r="11" spans="1:13" ht="12.75" customHeight="1" x14ac:dyDescent="0.2">
      <c r="A11" s="51"/>
      <c r="B11" s="58"/>
      <c r="C11" s="58"/>
      <c r="D11" s="58"/>
      <c r="E11" s="58"/>
      <c r="F11" s="58"/>
      <c r="G11" s="58"/>
      <c r="H11" s="58"/>
      <c r="I11" s="58"/>
      <c r="J11" s="58"/>
      <c r="K11" s="58"/>
      <c r="L11" s="58"/>
      <c r="M11" s="59"/>
    </row>
    <row r="12" spans="1:13" ht="12.75" customHeight="1" x14ac:dyDescent="0.2">
      <c r="A12" s="51"/>
      <c r="B12" s="58"/>
      <c r="C12" s="58"/>
      <c r="D12" s="58"/>
      <c r="E12" s="58"/>
      <c r="F12" s="58"/>
      <c r="G12" s="58"/>
      <c r="H12" s="58"/>
      <c r="I12" s="58"/>
      <c r="J12" s="58"/>
      <c r="K12" s="58"/>
      <c r="L12" s="58"/>
      <c r="M12" s="59"/>
    </row>
    <row r="13" spans="1:13" ht="12.75" customHeight="1" x14ac:dyDescent="0.2">
      <c r="A13" s="67" t="s">
        <v>27</v>
      </c>
      <c r="B13" s="68">
        <f t="shared" ref="B13:M13" si="5">SUM(B14:B15)</f>
        <v>0</v>
      </c>
      <c r="C13" s="68">
        <f t="shared" si="5"/>
        <v>0</v>
      </c>
      <c r="D13" s="68">
        <f t="shared" si="5"/>
        <v>0</v>
      </c>
      <c r="E13" s="68">
        <f t="shared" si="5"/>
        <v>0</v>
      </c>
      <c r="F13" s="68">
        <f t="shared" si="5"/>
        <v>0</v>
      </c>
      <c r="G13" s="68">
        <f t="shared" si="5"/>
        <v>0</v>
      </c>
      <c r="H13" s="68">
        <f t="shared" si="5"/>
        <v>0</v>
      </c>
      <c r="I13" s="68">
        <f t="shared" si="5"/>
        <v>0</v>
      </c>
      <c r="J13" s="68">
        <f t="shared" si="5"/>
        <v>0</v>
      </c>
      <c r="K13" s="68">
        <f t="shared" si="5"/>
        <v>0</v>
      </c>
      <c r="L13" s="68">
        <f t="shared" si="5"/>
        <v>0</v>
      </c>
      <c r="M13" s="68">
        <f t="shared" si="5"/>
        <v>0</v>
      </c>
    </row>
    <row r="14" spans="1:13" ht="12.75" customHeight="1" x14ac:dyDescent="0.2">
      <c r="A14" s="62" t="s">
        <v>28</v>
      </c>
      <c r="B14" s="69">
        <v>0</v>
      </c>
      <c r="C14" s="69">
        <v>0</v>
      </c>
      <c r="D14" s="69">
        <v>0</v>
      </c>
      <c r="E14" s="69">
        <v>0</v>
      </c>
      <c r="F14" s="69">
        <v>0</v>
      </c>
      <c r="G14" s="69">
        <v>0</v>
      </c>
      <c r="H14" s="69">
        <v>0</v>
      </c>
      <c r="I14" s="69">
        <v>0</v>
      </c>
      <c r="J14" s="69">
        <v>0</v>
      </c>
      <c r="K14" s="69">
        <v>0</v>
      </c>
      <c r="L14" s="69"/>
      <c r="M14" s="69"/>
    </row>
    <row r="15" spans="1:13" ht="12.75" customHeight="1" x14ac:dyDescent="0.2">
      <c r="A15" s="51"/>
      <c r="B15" s="58"/>
      <c r="C15" s="58"/>
      <c r="D15" s="58"/>
      <c r="E15" s="58"/>
      <c r="F15" s="58"/>
      <c r="G15" s="58"/>
      <c r="H15" s="58"/>
      <c r="I15" s="58"/>
      <c r="J15" s="58"/>
      <c r="K15" s="58"/>
      <c r="L15" s="58"/>
      <c r="M15" s="59"/>
    </row>
    <row r="16" spans="1:13" ht="12.75" customHeight="1" x14ac:dyDescent="0.2">
      <c r="A16" s="67" t="s">
        <v>29</v>
      </c>
      <c r="B16" s="68">
        <f t="shared" ref="B16:C16" si="6">B17+B18+B19</f>
        <v>324.07</v>
      </c>
      <c r="C16" s="68">
        <f t="shared" si="6"/>
        <v>334.16999999999996</v>
      </c>
      <c r="D16" s="68">
        <f t="shared" ref="D16:M16" si="7">SUM(D17:D20)</f>
        <v>334.82</v>
      </c>
      <c r="E16" s="68">
        <f t="shared" si="7"/>
        <v>233.37</v>
      </c>
      <c r="F16" s="68">
        <f t="shared" si="7"/>
        <v>333.85</v>
      </c>
      <c r="G16" s="68">
        <f t="shared" si="7"/>
        <v>335.38</v>
      </c>
      <c r="H16" s="68">
        <f t="shared" si="7"/>
        <v>336.31</v>
      </c>
      <c r="I16" s="68">
        <f t="shared" si="7"/>
        <v>236.67</v>
      </c>
      <c r="J16" s="68">
        <f t="shared" si="7"/>
        <v>343.72</v>
      </c>
      <c r="K16" s="68">
        <f t="shared" si="7"/>
        <v>344.02</v>
      </c>
      <c r="L16" s="68">
        <f t="shared" si="7"/>
        <v>312.48444444444442</v>
      </c>
      <c r="M16" s="68">
        <f t="shared" si="7"/>
        <v>312.48444444444442</v>
      </c>
    </row>
    <row r="17" spans="1:13" ht="12.75" customHeight="1" x14ac:dyDescent="0.2">
      <c r="A17" s="62" t="s">
        <v>30</v>
      </c>
      <c r="B17" s="70">
        <v>76.5</v>
      </c>
      <c r="C17" s="70">
        <v>76.3</v>
      </c>
      <c r="D17" s="70">
        <v>76.3</v>
      </c>
      <c r="E17" s="70">
        <v>76.3</v>
      </c>
      <c r="F17" s="70">
        <v>76.3</v>
      </c>
      <c r="G17" s="70">
        <v>76.3</v>
      </c>
      <c r="H17" s="70">
        <v>76.3</v>
      </c>
      <c r="I17" s="70">
        <v>76.3</v>
      </c>
      <c r="J17" s="70">
        <v>76.3</v>
      </c>
      <c r="K17" s="70">
        <v>76.3</v>
      </c>
      <c r="L17" s="70">
        <f t="shared" ref="L17:L19" si="8">AVERAGE(B17:J17)</f>
        <v>76.322222222222223</v>
      </c>
      <c r="M17" s="70">
        <f t="shared" ref="M17:M19" si="9">AVERAGE(B17:J17)</f>
        <v>76.322222222222223</v>
      </c>
    </row>
    <row r="18" spans="1:13" ht="12.75" customHeight="1" x14ac:dyDescent="0.2">
      <c r="A18" s="62" t="s">
        <v>31</v>
      </c>
      <c r="B18" s="70">
        <v>47.57</v>
      </c>
      <c r="C18" s="70">
        <v>57.87</v>
      </c>
      <c r="D18" s="70">
        <v>58.52</v>
      </c>
      <c r="E18" s="70">
        <v>57.07</v>
      </c>
      <c r="F18" s="70">
        <v>57.55</v>
      </c>
      <c r="G18" s="70">
        <v>59.08</v>
      </c>
      <c r="H18" s="70">
        <v>60.01</v>
      </c>
      <c r="I18" s="70">
        <v>60.37</v>
      </c>
      <c r="J18" s="70">
        <v>67.42</v>
      </c>
      <c r="K18" s="70">
        <v>67.72</v>
      </c>
      <c r="L18" s="70">
        <f t="shared" si="8"/>
        <v>58.384444444444433</v>
      </c>
      <c r="M18" s="70">
        <f t="shared" si="9"/>
        <v>58.384444444444433</v>
      </c>
    </row>
    <row r="19" spans="1:13" ht="12.75" customHeight="1" x14ac:dyDescent="0.2">
      <c r="A19" s="62" t="s">
        <v>32</v>
      </c>
      <c r="B19" s="69">
        <v>200</v>
      </c>
      <c r="C19" s="69">
        <v>200</v>
      </c>
      <c r="D19" s="69">
        <v>200</v>
      </c>
      <c r="E19" s="69">
        <v>100</v>
      </c>
      <c r="F19" s="69">
        <v>200</v>
      </c>
      <c r="G19" s="69">
        <v>200</v>
      </c>
      <c r="H19" s="69">
        <v>200</v>
      </c>
      <c r="I19" s="69">
        <v>100</v>
      </c>
      <c r="J19" s="69">
        <f>100+100</f>
        <v>200</v>
      </c>
      <c r="K19" s="69">
        <v>200</v>
      </c>
      <c r="L19" s="70">
        <f t="shared" si="8"/>
        <v>177.77777777777777</v>
      </c>
      <c r="M19" s="70">
        <f t="shared" si="9"/>
        <v>177.77777777777777</v>
      </c>
    </row>
    <row r="20" spans="1:13" ht="12.75" customHeight="1" x14ac:dyDescent="0.2">
      <c r="A20" s="51"/>
      <c r="B20" s="58"/>
      <c r="C20" s="58"/>
      <c r="D20" s="58"/>
      <c r="E20" s="58"/>
      <c r="F20" s="58"/>
      <c r="G20" s="58"/>
      <c r="H20" s="58"/>
      <c r="I20" s="58"/>
      <c r="J20" s="58"/>
      <c r="K20" s="58"/>
      <c r="L20" s="58"/>
      <c r="M20" s="59"/>
    </row>
    <row r="21" spans="1:13" ht="12.75" customHeight="1" x14ac:dyDescent="0.2">
      <c r="A21" s="67" t="s">
        <v>33</v>
      </c>
      <c r="B21" s="68">
        <f>B22+B23+B24</f>
        <v>310</v>
      </c>
      <c r="C21" s="68">
        <f t="shared" ref="C21:M21" si="10">SUM(C22:C25)</f>
        <v>0</v>
      </c>
      <c r="D21" s="68">
        <f t="shared" si="10"/>
        <v>1000</v>
      </c>
      <c r="E21" s="68">
        <f t="shared" si="10"/>
        <v>150</v>
      </c>
      <c r="F21" s="68">
        <f t="shared" si="10"/>
        <v>600</v>
      </c>
      <c r="G21" s="68">
        <f t="shared" si="10"/>
        <v>150</v>
      </c>
      <c r="H21" s="68">
        <f t="shared" si="10"/>
        <v>150</v>
      </c>
      <c r="I21" s="68">
        <f t="shared" si="10"/>
        <v>150</v>
      </c>
      <c r="J21" s="68">
        <f t="shared" si="10"/>
        <v>845</v>
      </c>
      <c r="K21" s="68">
        <f t="shared" si="10"/>
        <v>560</v>
      </c>
      <c r="L21" s="68">
        <f t="shared" si="10"/>
        <v>150</v>
      </c>
      <c r="M21" s="68">
        <f t="shared" si="10"/>
        <v>150</v>
      </c>
    </row>
    <row r="22" spans="1:13" ht="12.75" customHeight="1" x14ac:dyDescent="0.2">
      <c r="A22" s="62" t="s">
        <v>34</v>
      </c>
      <c r="B22" s="70">
        <v>0</v>
      </c>
      <c r="C22" s="69">
        <v>0</v>
      </c>
      <c r="D22" s="69">
        <v>0</v>
      </c>
      <c r="E22" s="69">
        <v>0</v>
      </c>
      <c r="F22" s="69">
        <v>0</v>
      </c>
      <c r="G22" s="69">
        <v>0</v>
      </c>
      <c r="H22" s="69">
        <v>0</v>
      </c>
      <c r="I22" s="69">
        <v>0</v>
      </c>
      <c r="J22" s="69">
        <v>0</v>
      </c>
      <c r="K22" s="69">
        <v>0</v>
      </c>
      <c r="L22" s="69">
        <v>0</v>
      </c>
      <c r="M22" s="69">
        <v>0</v>
      </c>
    </row>
    <row r="23" spans="1:13" ht="12.75" customHeight="1" x14ac:dyDescent="0.2">
      <c r="A23" s="62" t="s">
        <v>35</v>
      </c>
      <c r="B23" s="70">
        <v>310</v>
      </c>
      <c r="C23" s="70">
        <v>0</v>
      </c>
      <c r="D23" s="70">
        <v>1000</v>
      </c>
      <c r="E23" s="70">
        <v>0</v>
      </c>
      <c r="F23" s="70">
        <v>450</v>
      </c>
      <c r="G23" s="70">
        <v>0</v>
      </c>
      <c r="H23" s="70">
        <v>0</v>
      </c>
      <c r="I23" s="70">
        <v>0</v>
      </c>
      <c r="J23" s="70">
        <f>45+650</f>
        <v>695</v>
      </c>
      <c r="K23" s="116">
        <v>410</v>
      </c>
      <c r="L23" s="70">
        <v>0</v>
      </c>
      <c r="M23" s="70">
        <v>0</v>
      </c>
    </row>
    <row r="24" spans="1:13" ht="12.75" customHeight="1" x14ac:dyDescent="0.2">
      <c r="A24" s="62" t="s">
        <v>42</v>
      </c>
      <c r="B24" s="70">
        <v>0</v>
      </c>
      <c r="C24" s="70">
        <v>0</v>
      </c>
      <c r="D24" s="70">
        <v>0</v>
      </c>
      <c r="E24" s="70">
        <v>150</v>
      </c>
      <c r="F24" s="70">
        <v>150</v>
      </c>
      <c r="G24" s="70">
        <v>150</v>
      </c>
      <c r="H24" s="70">
        <v>150</v>
      </c>
      <c r="I24" s="70">
        <v>150</v>
      </c>
      <c r="J24" s="70">
        <v>150</v>
      </c>
      <c r="K24" s="70">
        <v>150</v>
      </c>
      <c r="L24" s="70">
        <v>150</v>
      </c>
      <c r="M24" s="70">
        <v>150</v>
      </c>
    </row>
    <row r="25" spans="1:13" ht="12.75" customHeight="1" x14ac:dyDescent="0.2">
      <c r="A25" s="51"/>
      <c r="B25" s="58"/>
      <c r="C25" s="58"/>
      <c r="D25" s="58"/>
      <c r="E25" s="58"/>
      <c r="F25" s="58"/>
      <c r="G25" s="58"/>
      <c r="H25" s="58"/>
      <c r="I25" s="58"/>
      <c r="J25" s="58"/>
      <c r="K25" s="58"/>
      <c r="L25" s="58"/>
      <c r="M25" s="59"/>
    </row>
    <row r="26" spans="1:13" ht="12.75" customHeight="1" x14ac:dyDescent="0.2">
      <c r="A26" s="71" t="s">
        <v>36</v>
      </c>
      <c r="B26" s="72"/>
      <c r="C26" s="72"/>
      <c r="D26" s="72"/>
      <c r="E26" s="72"/>
      <c r="F26" s="72"/>
      <c r="G26" s="72"/>
      <c r="H26" s="72"/>
      <c r="I26" s="72"/>
      <c r="J26" s="72"/>
      <c r="K26" s="72"/>
      <c r="L26" s="72"/>
      <c r="M26" s="72"/>
    </row>
    <row r="27" spans="1:13" ht="12.75" customHeight="1" x14ac:dyDescent="0.2">
      <c r="A27" s="62" t="s">
        <v>37</v>
      </c>
      <c r="B27" s="70">
        <f>'Fluxo de caixa 2024'!M31+'Fluxo de caixa 2025'!B8</f>
        <v>4417.17</v>
      </c>
      <c r="C27" s="70">
        <f>C8+B31</f>
        <v>4383.1000000000004</v>
      </c>
      <c r="D27" s="70">
        <v>0</v>
      </c>
      <c r="E27" s="70">
        <f>E8</f>
        <v>600</v>
      </c>
      <c r="F27" s="70">
        <f>F8+E31</f>
        <v>4130.7400000000007</v>
      </c>
      <c r="G27" s="70">
        <f>F31+G8</f>
        <v>3796.8900000000008</v>
      </c>
      <c r="H27" s="70">
        <f>G31+H9</f>
        <v>3911.5100000000007</v>
      </c>
      <c r="I27" s="70">
        <f>I8+H31</f>
        <v>4025.2000000000007</v>
      </c>
      <c r="J27" s="70">
        <f t="shared" ref="J27:M27" si="11">I31+J8</f>
        <v>4662.59</v>
      </c>
      <c r="K27" s="70">
        <f t="shared" si="11"/>
        <v>3988.21</v>
      </c>
      <c r="L27" s="70">
        <f t="shared" si="11"/>
        <v>3684.19</v>
      </c>
      <c r="M27" s="70">
        <f t="shared" si="11"/>
        <v>3821.7055555555557</v>
      </c>
    </row>
    <row r="28" spans="1:13" ht="12.75" customHeight="1" x14ac:dyDescent="0.2">
      <c r="A28" s="62" t="s">
        <v>38</v>
      </c>
      <c r="B28" s="70">
        <f t="shared" ref="B28:E28" si="12">B10</f>
        <v>0</v>
      </c>
      <c r="C28" s="70">
        <f t="shared" si="12"/>
        <v>0</v>
      </c>
      <c r="D28" s="70">
        <f t="shared" si="12"/>
        <v>0</v>
      </c>
      <c r="E28" s="70">
        <f t="shared" si="12"/>
        <v>0</v>
      </c>
      <c r="F28" s="70">
        <f>F13</f>
        <v>0</v>
      </c>
      <c r="G28" s="70">
        <v>0</v>
      </c>
      <c r="H28" s="70">
        <f>H10</f>
        <v>0</v>
      </c>
      <c r="I28" s="70">
        <f>I13</f>
        <v>0</v>
      </c>
      <c r="J28" s="70">
        <f>J10</f>
        <v>424.06</v>
      </c>
      <c r="K28" s="70">
        <v>0</v>
      </c>
      <c r="L28" s="70">
        <f t="shared" ref="L28:M28" si="13">L10</f>
        <v>0</v>
      </c>
      <c r="M28" s="70">
        <f t="shared" si="13"/>
        <v>0</v>
      </c>
    </row>
    <row r="29" spans="1:13" ht="12.75" customHeight="1" x14ac:dyDescent="0.2">
      <c r="A29" s="62" t="s">
        <v>39</v>
      </c>
      <c r="B29" s="70">
        <f t="shared" ref="B29:M29" si="14">B16</f>
        <v>324.07</v>
      </c>
      <c r="C29" s="70">
        <f t="shared" si="14"/>
        <v>334.16999999999996</v>
      </c>
      <c r="D29" s="70">
        <f t="shared" si="14"/>
        <v>334.82</v>
      </c>
      <c r="E29" s="70">
        <f t="shared" si="14"/>
        <v>233.37</v>
      </c>
      <c r="F29" s="70">
        <f t="shared" si="14"/>
        <v>333.85</v>
      </c>
      <c r="G29" s="70">
        <f t="shared" si="14"/>
        <v>335.38</v>
      </c>
      <c r="H29" s="70">
        <f t="shared" si="14"/>
        <v>336.31</v>
      </c>
      <c r="I29" s="70">
        <f t="shared" si="14"/>
        <v>236.67</v>
      </c>
      <c r="J29" s="70">
        <f t="shared" si="14"/>
        <v>343.72</v>
      </c>
      <c r="K29" s="70">
        <f t="shared" si="14"/>
        <v>344.02</v>
      </c>
      <c r="L29" s="70">
        <f t="shared" si="14"/>
        <v>312.48444444444442</v>
      </c>
      <c r="M29" s="70">
        <f t="shared" si="14"/>
        <v>312.48444444444442</v>
      </c>
    </row>
    <row r="30" spans="1:13" ht="12.75" customHeight="1" x14ac:dyDescent="0.2">
      <c r="A30" s="62" t="s">
        <v>40</v>
      </c>
      <c r="B30" s="70">
        <f t="shared" ref="B30:M30" si="15">B21</f>
        <v>310</v>
      </c>
      <c r="C30" s="70">
        <f t="shared" si="15"/>
        <v>0</v>
      </c>
      <c r="D30" s="70">
        <f t="shared" si="15"/>
        <v>1000</v>
      </c>
      <c r="E30" s="70">
        <f t="shared" si="15"/>
        <v>150</v>
      </c>
      <c r="F30" s="70">
        <f t="shared" si="15"/>
        <v>600</v>
      </c>
      <c r="G30" s="70">
        <f t="shared" si="15"/>
        <v>150</v>
      </c>
      <c r="H30" s="70">
        <f t="shared" si="15"/>
        <v>150</v>
      </c>
      <c r="I30" s="70">
        <f t="shared" si="15"/>
        <v>150</v>
      </c>
      <c r="J30" s="70">
        <f t="shared" si="15"/>
        <v>845</v>
      </c>
      <c r="K30" s="70">
        <f t="shared" si="15"/>
        <v>560</v>
      </c>
      <c r="L30" s="70">
        <f t="shared" si="15"/>
        <v>150</v>
      </c>
      <c r="M30" s="70">
        <f t="shared" si="15"/>
        <v>150</v>
      </c>
    </row>
    <row r="31" spans="1:13" ht="12.75" customHeight="1" x14ac:dyDescent="0.2">
      <c r="A31" s="62" t="s">
        <v>41</v>
      </c>
      <c r="B31" s="73">
        <f>B27-B29-B30</f>
        <v>3783.1</v>
      </c>
      <c r="C31" s="73">
        <f>C27+C28-C29-C30</f>
        <v>4048.9300000000003</v>
      </c>
      <c r="D31" s="73">
        <f t="shared" ref="D31:E31" si="16">C31+D8-D16-D21</f>
        <v>3314.1100000000006</v>
      </c>
      <c r="E31" s="70">
        <f t="shared" si="16"/>
        <v>3530.7400000000007</v>
      </c>
      <c r="F31" s="70">
        <f>F27+F28-F29-F30</f>
        <v>3196.8900000000008</v>
      </c>
      <c r="G31" s="70">
        <f>G27-G29-G30</f>
        <v>3311.5100000000007</v>
      </c>
      <c r="H31" s="70">
        <f t="shared" ref="H31:I31" si="17">H27+H28-H29-H30</f>
        <v>3425.2000000000007</v>
      </c>
      <c r="I31" s="70">
        <f t="shared" si="17"/>
        <v>3638.5300000000007</v>
      </c>
      <c r="J31" s="70">
        <f>J27-J29-J30</f>
        <v>3473.87</v>
      </c>
      <c r="K31" s="70">
        <f t="shared" ref="K31:M31" si="18">K27+K28-K29-K30</f>
        <v>3084.19</v>
      </c>
      <c r="L31" s="70">
        <f t="shared" si="18"/>
        <v>3221.7055555555557</v>
      </c>
      <c r="M31" s="70">
        <f t="shared" si="18"/>
        <v>3359.2211111111114</v>
      </c>
    </row>
    <row r="32" spans="1:13" ht="12.75" customHeight="1" x14ac:dyDescent="0.2"/>
    <row r="33" spans="1:13" ht="12.75" customHeight="1" x14ac:dyDescent="0.2">
      <c r="A33" s="74" t="s">
        <v>43</v>
      </c>
      <c r="D33" s="75">
        <v>-3000</v>
      </c>
      <c r="E33" s="76">
        <f>D33+E24</f>
        <v>-2850</v>
      </c>
      <c r="F33" s="76">
        <f t="shared" ref="F33:G33" si="19">SUM(E33+F24)</f>
        <v>-2700</v>
      </c>
      <c r="G33" s="77">
        <f t="shared" si="19"/>
        <v>-2550</v>
      </c>
      <c r="H33" s="76">
        <f>SUM(G33+H21)</f>
        <v>-2400</v>
      </c>
      <c r="I33" s="76">
        <f t="shared" ref="I33:M33" si="20">H33+150</f>
        <v>-2250</v>
      </c>
      <c r="J33" s="76">
        <f t="shared" si="20"/>
        <v>-2100</v>
      </c>
      <c r="K33" s="76">
        <f t="shared" si="20"/>
        <v>-1950</v>
      </c>
      <c r="L33" s="76">
        <f t="shared" si="20"/>
        <v>-1800</v>
      </c>
      <c r="M33" s="76">
        <f t="shared" si="20"/>
        <v>-1650</v>
      </c>
    </row>
    <row r="34" spans="1:13" ht="12.75" customHeight="1" x14ac:dyDescent="0.2"/>
    <row r="35" spans="1:13" ht="12.75" customHeight="1" x14ac:dyDescent="0.2"/>
    <row r="36" spans="1:13" ht="12.75" customHeight="1" x14ac:dyDescent="0.2"/>
    <row r="37" spans="1:13" ht="12.75" customHeight="1" x14ac:dyDescent="0.2"/>
    <row r="38" spans="1:13" ht="12.75" customHeight="1" x14ac:dyDescent="0.2"/>
    <row r="39" spans="1:13" ht="12.75" customHeight="1" x14ac:dyDescent="0.2"/>
    <row r="40" spans="1:13" ht="12.75" customHeight="1" x14ac:dyDescent="0.2"/>
    <row r="41" spans="1:13" ht="12.75" customHeight="1" x14ac:dyDescent="0.2"/>
    <row r="42" spans="1:13" ht="12.75" customHeight="1" x14ac:dyDescent="0.2"/>
    <row r="43" spans="1:13" ht="12.75" customHeight="1" x14ac:dyDescent="0.2"/>
    <row r="44" spans="1:13" ht="12.75" customHeight="1" x14ac:dyDescent="0.2"/>
    <row r="45" spans="1:13" ht="12.75" customHeight="1" x14ac:dyDescent="0.2"/>
    <row r="46" spans="1:13" ht="12.75" customHeight="1" x14ac:dyDescent="0.2"/>
    <row r="47" spans="1:13" ht="12.75" customHeight="1" x14ac:dyDescent="0.2"/>
    <row r="48" spans="1:13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  <row r="101" ht="12.75" customHeight="1" x14ac:dyDescent="0.2"/>
    <row r="102" ht="12.75" customHeight="1" x14ac:dyDescent="0.2"/>
    <row r="103" ht="12.75" customHeight="1" x14ac:dyDescent="0.2"/>
    <row r="104" ht="12.75" customHeight="1" x14ac:dyDescent="0.2"/>
    <row r="105" ht="12.75" customHeight="1" x14ac:dyDescent="0.2"/>
    <row r="106" ht="12.75" customHeight="1" x14ac:dyDescent="0.2"/>
    <row r="107" ht="12.75" customHeight="1" x14ac:dyDescent="0.2"/>
    <row r="108" ht="12.75" customHeight="1" x14ac:dyDescent="0.2"/>
    <row r="109" ht="12.75" customHeight="1" x14ac:dyDescent="0.2"/>
    <row r="110" ht="12.75" customHeight="1" x14ac:dyDescent="0.2"/>
    <row r="111" ht="12.75" customHeight="1" x14ac:dyDescent="0.2"/>
    <row r="112" ht="12.75" customHeight="1" x14ac:dyDescent="0.2"/>
    <row r="113" ht="12.75" customHeight="1" x14ac:dyDescent="0.2"/>
    <row r="114" ht="12.75" customHeight="1" x14ac:dyDescent="0.2"/>
    <row r="115" ht="12.75" customHeight="1" x14ac:dyDescent="0.2"/>
    <row r="116" ht="12.75" customHeight="1" x14ac:dyDescent="0.2"/>
    <row r="117" ht="12.75" customHeight="1" x14ac:dyDescent="0.2"/>
    <row r="118" ht="12.75" customHeight="1" x14ac:dyDescent="0.2"/>
    <row r="119" ht="12.75" customHeight="1" x14ac:dyDescent="0.2"/>
    <row r="120" ht="12.75" customHeight="1" x14ac:dyDescent="0.2"/>
    <row r="121" ht="12.75" customHeight="1" x14ac:dyDescent="0.2"/>
    <row r="122" ht="12.75" customHeight="1" x14ac:dyDescent="0.2"/>
    <row r="123" ht="12.75" customHeight="1" x14ac:dyDescent="0.2"/>
    <row r="124" ht="12.75" customHeight="1" x14ac:dyDescent="0.2"/>
    <row r="125" ht="12.75" customHeight="1" x14ac:dyDescent="0.2"/>
    <row r="126" ht="12.75" customHeight="1" x14ac:dyDescent="0.2"/>
    <row r="127" ht="12.75" customHeight="1" x14ac:dyDescent="0.2"/>
    <row r="128" ht="12.75" customHeight="1" x14ac:dyDescent="0.2"/>
    <row r="129" ht="12.75" customHeight="1" x14ac:dyDescent="0.2"/>
    <row r="130" ht="12.75" customHeight="1" x14ac:dyDescent="0.2"/>
    <row r="131" ht="12.75" customHeight="1" x14ac:dyDescent="0.2"/>
    <row r="132" ht="12.75" customHeight="1" x14ac:dyDescent="0.2"/>
    <row r="133" ht="12.75" customHeight="1" x14ac:dyDescent="0.2"/>
    <row r="134" ht="12.75" customHeight="1" x14ac:dyDescent="0.2"/>
    <row r="135" ht="12.75" customHeight="1" x14ac:dyDescent="0.2"/>
    <row r="136" ht="12.75" customHeight="1" x14ac:dyDescent="0.2"/>
    <row r="137" ht="12.75" customHeight="1" x14ac:dyDescent="0.2"/>
    <row r="138" ht="12.75" customHeight="1" x14ac:dyDescent="0.2"/>
    <row r="139" ht="12.75" customHeight="1" x14ac:dyDescent="0.2"/>
    <row r="140" ht="12.75" customHeight="1" x14ac:dyDescent="0.2"/>
    <row r="141" ht="12.75" customHeight="1" x14ac:dyDescent="0.2"/>
    <row r="142" ht="12.75" customHeight="1" x14ac:dyDescent="0.2"/>
    <row r="143" ht="12.75" customHeight="1" x14ac:dyDescent="0.2"/>
    <row r="144" ht="12.75" customHeight="1" x14ac:dyDescent="0.2"/>
    <row r="145" ht="12.75" customHeight="1" x14ac:dyDescent="0.2"/>
    <row r="146" ht="12.75" customHeight="1" x14ac:dyDescent="0.2"/>
    <row r="147" ht="12.75" customHeight="1" x14ac:dyDescent="0.2"/>
    <row r="148" ht="12.75" customHeight="1" x14ac:dyDescent="0.2"/>
    <row r="149" ht="12.75" customHeight="1" x14ac:dyDescent="0.2"/>
    <row r="150" ht="12.75" customHeight="1" x14ac:dyDescent="0.2"/>
    <row r="151" ht="12.75" customHeight="1" x14ac:dyDescent="0.2"/>
    <row r="152" ht="12.75" customHeight="1" x14ac:dyDescent="0.2"/>
    <row r="153" ht="12.75" customHeight="1" x14ac:dyDescent="0.2"/>
    <row r="154" ht="12.75" customHeight="1" x14ac:dyDescent="0.2"/>
    <row r="155" ht="12.75" customHeight="1" x14ac:dyDescent="0.2"/>
    <row r="156" ht="12.75" customHeight="1" x14ac:dyDescent="0.2"/>
    <row r="157" ht="12.75" customHeight="1" x14ac:dyDescent="0.2"/>
    <row r="158" ht="12.75" customHeight="1" x14ac:dyDescent="0.2"/>
    <row r="159" ht="12.75" customHeight="1" x14ac:dyDescent="0.2"/>
    <row r="160" ht="12.75" customHeight="1" x14ac:dyDescent="0.2"/>
    <row r="161" ht="12.75" customHeight="1" x14ac:dyDescent="0.2"/>
    <row r="162" ht="12.75" customHeight="1" x14ac:dyDescent="0.2"/>
    <row r="163" ht="12.75" customHeight="1" x14ac:dyDescent="0.2"/>
    <row r="164" ht="12.75" customHeight="1" x14ac:dyDescent="0.2"/>
    <row r="165" ht="12.75" customHeight="1" x14ac:dyDescent="0.2"/>
    <row r="166" ht="12.75" customHeight="1" x14ac:dyDescent="0.2"/>
    <row r="167" ht="12.75" customHeight="1" x14ac:dyDescent="0.2"/>
    <row r="168" ht="12.75" customHeight="1" x14ac:dyDescent="0.2"/>
    <row r="169" ht="12.75" customHeight="1" x14ac:dyDescent="0.2"/>
    <row r="170" ht="12.75" customHeight="1" x14ac:dyDescent="0.2"/>
    <row r="171" ht="12.75" customHeight="1" x14ac:dyDescent="0.2"/>
    <row r="172" ht="12.75" customHeight="1" x14ac:dyDescent="0.2"/>
    <row r="173" ht="12.75" customHeight="1" x14ac:dyDescent="0.2"/>
    <row r="174" ht="12.75" customHeight="1" x14ac:dyDescent="0.2"/>
    <row r="175" ht="12.75" customHeight="1" x14ac:dyDescent="0.2"/>
    <row r="176" ht="12.75" customHeight="1" x14ac:dyDescent="0.2"/>
    <row r="177" ht="12.75" customHeight="1" x14ac:dyDescent="0.2"/>
    <row r="178" ht="12.75" customHeight="1" x14ac:dyDescent="0.2"/>
    <row r="179" ht="12.75" customHeight="1" x14ac:dyDescent="0.2"/>
    <row r="180" ht="12.75" customHeight="1" x14ac:dyDescent="0.2"/>
    <row r="181" ht="12.75" customHeight="1" x14ac:dyDescent="0.2"/>
    <row r="182" ht="12.75" customHeight="1" x14ac:dyDescent="0.2"/>
    <row r="183" ht="12.75" customHeight="1" x14ac:dyDescent="0.2"/>
    <row r="184" ht="12.75" customHeight="1" x14ac:dyDescent="0.2"/>
    <row r="185" ht="12.75" customHeight="1" x14ac:dyDescent="0.2"/>
    <row r="186" ht="12.75" customHeight="1" x14ac:dyDescent="0.2"/>
    <row r="187" ht="12.75" customHeight="1" x14ac:dyDescent="0.2"/>
    <row r="188" ht="12.75" customHeight="1" x14ac:dyDescent="0.2"/>
    <row r="189" ht="12.75" customHeight="1" x14ac:dyDescent="0.2"/>
    <row r="190" ht="12.75" customHeight="1" x14ac:dyDescent="0.2"/>
    <row r="191" ht="12.75" customHeight="1" x14ac:dyDescent="0.2"/>
    <row r="192" ht="12.75" customHeight="1" x14ac:dyDescent="0.2"/>
    <row r="193" ht="12.75" customHeight="1" x14ac:dyDescent="0.2"/>
    <row r="194" ht="12.75" customHeight="1" x14ac:dyDescent="0.2"/>
    <row r="195" ht="12.75" customHeight="1" x14ac:dyDescent="0.2"/>
    <row r="196" ht="12.75" customHeight="1" x14ac:dyDescent="0.2"/>
    <row r="197" ht="12.75" customHeight="1" x14ac:dyDescent="0.2"/>
    <row r="198" ht="12.75" customHeight="1" x14ac:dyDescent="0.2"/>
    <row r="199" ht="12.75" customHeight="1" x14ac:dyDescent="0.2"/>
    <row r="200" ht="12.75" customHeight="1" x14ac:dyDescent="0.2"/>
    <row r="201" ht="12.75" customHeight="1" x14ac:dyDescent="0.2"/>
    <row r="202" ht="12.75" customHeight="1" x14ac:dyDescent="0.2"/>
    <row r="203" ht="12.75" customHeight="1" x14ac:dyDescent="0.2"/>
    <row r="204" ht="12.75" customHeight="1" x14ac:dyDescent="0.2"/>
    <row r="205" ht="12.75" customHeight="1" x14ac:dyDescent="0.2"/>
    <row r="206" ht="12.75" customHeight="1" x14ac:dyDescent="0.2"/>
    <row r="207" ht="12.75" customHeight="1" x14ac:dyDescent="0.2"/>
    <row r="208" ht="12.75" customHeight="1" x14ac:dyDescent="0.2"/>
    <row r="209" ht="12.75" customHeight="1" x14ac:dyDescent="0.2"/>
    <row r="210" ht="12.75" customHeight="1" x14ac:dyDescent="0.2"/>
    <row r="211" ht="12.75" customHeight="1" x14ac:dyDescent="0.2"/>
    <row r="212" ht="12.75" customHeight="1" x14ac:dyDescent="0.2"/>
    <row r="213" ht="12.75" customHeight="1" x14ac:dyDescent="0.2"/>
    <row r="214" ht="12.75" customHeight="1" x14ac:dyDescent="0.2"/>
    <row r="215" ht="12.75" customHeight="1" x14ac:dyDescent="0.2"/>
    <row r="216" ht="12.75" customHeight="1" x14ac:dyDescent="0.2"/>
    <row r="217" ht="12.75" customHeight="1" x14ac:dyDescent="0.2"/>
    <row r="218" ht="12.75" customHeight="1" x14ac:dyDescent="0.2"/>
    <row r="219" ht="12.75" customHeight="1" x14ac:dyDescent="0.2"/>
    <row r="220" ht="12.75" customHeight="1" x14ac:dyDescent="0.2"/>
    <row r="221" ht="12.75" customHeight="1" x14ac:dyDescent="0.2"/>
    <row r="222" ht="12.75" customHeight="1" x14ac:dyDescent="0.2"/>
    <row r="223" ht="12.75" customHeight="1" x14ac:dyDescent="0.2"/>
    <row r="224" ht="12.75" customHeight="1" x14ac:dyDescent="0.2"/>
    <row r="225" ht="12.75" customHeight="1" x14ac:dyDescent="0.2"/>
    <row r="226" ht="12.75" customHeight="1" x14ac:dyDescent="0.2"/>
    <row r="227" ht="12.75" customHeight="1" x14ac:dyDescent="0.2"/>
    <row r="228" ht="12.75" customHeight="1" x14ac:dyDescent="0.2"/>
    <row r="229" ht="12.75" customHeight="1" x14ac:dyDescent="0.2"/>
    <row r="230" ht="12.75" customHeight="1" x14ac:dyDescent="0.2"/>
    <row r="231" ht="12.75" customHeight="1" x14ac:dyDescent="0.2"/>
    <row r="232" ht="12.75" customHeight="1" x14ac:dyDescent="0.2"/>
    <row r="233" ht="12.75" customHeight="1" x14ac:dyDescent="0.2"/>
    <row r="234" ht="12.75" customHeight="1" x14ac:dyDescent="0.2"/>
    <row r="235" ht="12.75" customHeight="1" x14ac:dyDescent="0.2"/>
    <row r="236" ht="12.75" customHeight="1" x14ac:dyDescent="0.2"/>
    <row r="237" ht="12.75" customHeight="1" x14ac:dyDescent="0.2"/>
    <row r="238" ht="12.75" customHeight="1" x14ac:dyDescent="0.2"/>
    <row r="239" ht="12.75" customHeight="1" x14ac:dyDescent="0.2"/>
    <row r="240" ht="12.75" customHeight="1" x14ac:dyDescent="0.2"/>
    <row r="241" ht="12.75" customHeight="1" x14ac:dyDescent="0.2"/>
    <row r="242" ht="12.75" customHeight="1" x14ac:dyDescent="0.2"/>
    <row r="243" ht="12.75" customHeight="1" x14ac:dyDescent="0.2"/>
    <row r="244" ht="12.75" customHeight="1" x14ac:dyDescent="0.2"/>
    <row r="245" ht="12.75" customHeight="1" x14ac:dyDescent="0.2"/>
    <row r="246" ht="12.75" customHeight="1" x14ac:dyDescent="0.2"/>
    <row r="247" ht="12.75" customHeight="1" x14ac:dyDescent="0.2"/>
    <row r="248" ht="12.75" customHeight="1" x14ac:dyDescent="0.2"/>
    <row r="249" ht="12.75" customHeight="1" x14ac:dyDescent="0.2"/>
    <row r="250" ht="12.75" customHeight="1" x14ac:dyDescent="0.2"/>
    <row r="251" ht="12.75" customHeight="1" x14ac:dyDescent="0.2"/>
    <row r="252" ht="12.75" customHeight="1" x14ac:dyDescent="0.2"/>
    <row r="253" ht="12.75" customHeight="1" x14ac:dyDescent="0.2"/>
    <row r="254" ht="12.75" customHeight="1" x14ac:dyDescent="0.2"/>
    <row r="255" ht="12.75" customHeight="1" x14ac:dyDescent="0.2"/>
    <row r="256" ht="12.75" customHeight="1" x14ac:dyDescent="0.2"/>
    <row r="257" ht="12.75" customHeight="1" x14ac:dyDescent="0.2"/>
    <row r="258" ht="12.75" customHeight="1" x14ac:dyDescent="0.2"/>
    <row r="259" ht="12.75" customHeight="1" x14ac:dyDescent="0.2"/>
    <row r="260" ht="12.75" customHeight="1" x14ac:dyDescent="0.2"/>
    <row r="261" ht="12.75" customHeight="1" x14ac:dyDescent="0.2"/>
    <row r="262" ht="12.75" customHeight="1" x14ac:dyDescent="0.2"/>
    <row r="263" ht="12.75" customHeight="1" x14ac:dyDescent="0.2"/>
    <row r="264" ht="12.75" customHeight="1" x14ac:dyDescent="0.2"/>
    <row r="265" ht="12.75" customHeight="1" x14ac:dyDescent="0.2"/>
    <row r="266" ht="12.75" customHeight="1" x14ac:dyDescent="0.2"/>
    <row r="267" ht="12.75" customHeight="1" x14ac:dyDescent="0.2"/>
    <row r="268" ht="12.75" customHeight="1" x14ac:dyDescent="0.2"/>
    <row r="269" ht="12.75" customHeight="1" x14ac:dyDescent="0.2"/>
    <row r="270" ht="12.75" customHeight="1" x14ac:dyDescent="0.2"/>
    <row r="271" ht="12.75" customHeight="1" x14ac:dyDescent="0.2"/>
    <row r="272" ht="12.75" customHeight="1" x14ac:dyDescent="0.2"/>
    <row r="273" ht="12.75" customHeight="1" x14ac:dyDescent="0.2"/>
    <row r="274" ht="12.75" customHeight="1" x14ac:dyDescent="0.2"/>
    <row r="275" ht="12.75" customHeight="1" x14ac:dyDescent="0.2"/>
    <row r="276" ht="12.75" customHeight="1" x14ac:dyDescent="0.2"/>
    <row r="277" ht="12.75" customHeight="1" x14ac:dyDescent="0.2"/>
    <row r="278" ht="12.75" customHeight="1" x14ac:dyDescent="0.2"/>
    <row r="279" ht="12.75" customHeight="1" x14ac:dyDescent="0.2"/>
    <row r="280" ht="12.75" customHeight="1" x14ac:dyDescent="0.2"/>
    <row r="281" ht="12.75" customHeight="1" x14ac:dyDescent="0.2"/>
    <row r="282" ht="12.75" customHeight="1" x14ac:dyDescent="0.2"/>
    <row r="283" ht="12.75" customHeight="1" x14ac:dyDescent="0.2"/>
    <row r="284" ht="12.75" customHeight="1" x14ac:dyDescent="0.2"/>
    <row r="285" ht="12.75" customHeight="1" x14ac:dyDescent="0.2"/>
    <row r="286" ht="12.75" customHeight="1" x14ac:dyDescent="0.2"/>
    <row r="287" ht="12.75" customHeight="1" x14ac:dyDescent="0.2"/>
    <row r="288" ht="12.75" customHeight="1" x14ac:dyDescent="0.2"/>
    <row r="289" ht="12.75" customHeight="1" x14ac:dyDescent="0.2"/>
    <row r="290" ht="12.75" customHeight="1" x14ac:dyDescent="0.2"/>
    <row r="291" ht="12.75" customHeight="1" x14ac:dyDescent="0.2"/>
    <row r="292" ht="12.75" customHeight="1" x14ac:dyDescent="0.2"/>
    <row r="293" ht="12.75" customHeight="1" x14ac:dyDescent="0.2"/>
    <row r="294" ht="12.75" customHeight="1" x14ac:dyDescent="0.2"/>
    <row r="295" ht="12.75" customHeight="1" x14ac:dyDescent="0.2"/>
    <row r="296" ht="12.75" customHeight="1" x14ac:dyDescent="0.2"/>
    <row r="297" ht="12.75" customHeight="1" x14ac:dyDescent="0.2"/>
    <row r="298" ht="12.75" customHeight="1" x14ac:dyDescent="0.2"/>
    <row r="299" ht="12.75" customHeight="1" x14ac:dyDescent="0.2"/>
    <row r="300" ht="12.75" customHeight="1" x14ac:dyDescent="0.2"/>
    <row r="301" ht="12.75" customHeight="1" x14ac:dyDescent="0.2"/>
    <row r="302" ht="12.75" customHeight="1" x14ac:dyDescent="0.2"/>
    <row r="303" ht="12.75" customHeight="1" x14ac:dyDescent="0.2"/>
    <row r="304" ht="12.75" customHeight="1" x14ac:dyDescent="0.2"/>
    <row r="305" ht="12.75" customHeight="1" x14ac:dyDescent="0.2"/>
    <row r="306" ht="12.75" customHeight="1" x14ac:dyDescent="0.2"/>
    <row r="307" ht="12.75" customHeight="1" x14ac:dyDescent="0.2"/>
    <row r="308" ht="12.75" customHeight="1" x14ac:dyDescent="0.2"/>
    <row r="309" ht="12.75" customHeight="1" x14ac:dyDescent="0.2"/>
    <row r="310" ht="12.75" customHeight="1" x14ac:dyDescent="0.2"/>
    <row r="311" ht="12.75" customHeight="1" x14ac:dyDescent="0.2"/>
    <row r="312" ht="12.75" customHeight="1" x14ac:dyDescent="0.2"/>
    <row r="313" ht="12.75" customHeight="1" x14ac:dyDescent="0.2"/>
    <row r="314" ht="12.75" customHeight="1" x14ac:dyDescent="0.2"/>
    <row r="315" ht="12.75" customHeight="1" x14ac:dyDescent="0.2"/>
    <row r="316" ht="12.75" customHeight="1" x14ac:dyDescent="0.2"/>
    <row r="317" ht="12.75" customHeight="1" x14ac:dyDescent="0.2"/>
    <row r="318" ht="12.75" customHeight="1" x14ac:dyDescent="0.2"/>
    <row r="319" ht="12.75" customHeight="1" x14ac:dyDescent="0.2"/>
    <row r="320" ht="12.75" customHeight="1" x14ac:dyDescent="0.2"/>
    <row r="321" ht="12.75" customHeight="1" x14ac:dyDescent="0.2"/>
    <row r="322" ht="12.75" customHeight="1" x14ac:dyDescent="0.2"/>
    <row r="323" ht="12.75" customHeight="1" x14ac:dyDescent="0.2"/>
    <row r="324" ht="12.75" customHeight="1" x14ac:dyDescent="0.2"/>
    <row r="325" ht="12.75" customHeight="1" x14ac:dyDescent="0.2"/>
    <row r="326" ht="12.75" customHeight="1" x14ac:dyDescent="0.2"/>
    <row r="327" ht="12.75" customHeight="1" x14ac:dyDescent="0.2"/>
    <row r="328" ht="12.75" customHeight="1" x14ac:dyDescent="0.2"/>
    <row r="329" ht="12.75" customHeight="1" x14ac:dyDescent="0.2"/>
    <row r="330" ht="12.75" customHeight="1" x14ac:dyDescent="0.2"/>
    <row r="331" ht="12.75" customHeight="1" x14ac:dyDescent="0.2"/>
    <row r="332" ht="12.75" customHeight="1" x14ac:dyDescent="0.2"/>
    <row r="333" ht="12.75" customHeight="1" x14ac:dyDescent="0.2"/>
    <row r="334" ht="12.75" customHeight="1" x14ac:dyDescent="0.2"/>
    <row r="335" ht="12.75" customHeight="1" x14ac:dyDescent="0.2"/>
    <row r="336" ht="12.75" customHeight="1" x14ac:dyDescent="0.2"/>
    <row r="337" ht="12.75" customHeight="1" x14ac:dyDescent="0.2"/>
    <row r="338" ht="12.75" customHeight="1" x14ac:dyDescent="0.2"/>
    <row r="339" ht="12.75" customHeight="1" x14ac:dyDescent="0.2"/>
    <row r="340" ht="12.75" customHeight="1" x14ac:dyDescent="0.2"/>
    <row r="341" ht="12.75" customHeight="1" x14ac:dyDescent="0.2"/>
    <row r="342" ht="12.75" customHeight="1" x14ac:dyDescent="0.2"/>
    <row r="343" ht="12.75" customHeight="1" x14ac:dyDescent="0.2"/>
    <row r="344" ht="12.75" customHeight="1" x14ac:dyDescent="0.2"/>
    <row r="345" ht="12.75" customHeight="1" x14ac:dyDescent="0.2"/>
    <row r="346" ht="12.75" customHeight="1" x14ac:dyDescent="0.2"/>
    <row r="347" ht="12.75" customHeight="1" x14ac:dyDescent="0.2"/>
    <row r="348" ht="12.75" customHeight="1" x14ac:dyDescent="0.2"/>
    <row r="349" ht="12.75" customHeight="1" x14ac:dyDescent="0.2"/>
    <row r="350" ht="12.75" customHeight="1" x14ac:dyDescent="0.2"/>
    <row r="351" ht="12.75" customHeight="1" x14ac:dyDescent="0.2"/>
    <row r="352" ht="12.75" customHeight="1" x14ac:dyDescent="0.2"/>
    <row r="353" ht="12.75" customHeight="1" x14ac:dyDescent="0.2"/>
    <row r="354" ht="12.75" customHeight="1" x14ac:dyDescent="0.2"/>
    <row r="355" ht="12.75" customHeight="1" x14ac:dyDescent="0.2"/>
    <row r="356" ht="12.75" customHeight="1" x14ac:dyDescent="0.2"/>
    <row r="357" ht="12.75" customHeight="1" x14ac:dyDescent="0.2"/>
    <row r="358" ht="12.75" customHeight="1" x14ac:dyDescent="0.2"/>
    <row r="359" ht="12.75" customHeight="1" x14ac:dyDescent="0.2"/>
    <row r="360" ht="12.75" customHeight="1" x14ac:dyDescent="0.2"/>
    <row r="361" ht="12.75" customHeight="1" x14ac:dyDescent="0.2"/>
    <row r="362" ht="12.75" customHeight="1" x14ac:dyDescent="0.2"/>
    <row r="363" ht="12.75" customHeight="1" x14ac:dyDescent="0.2"/>
    <row r="364" ht="12.75" customHeight="1" x14ac:dyDescent="0.2"/>
    <row r="365" ht="12.75" customHeight="1" x14ac:dyDescent="0.2"/>
    <row r="366" ht="12.75" customHeight="1" x14ac:dyDescent="0.2"/>
    <row r="367" ht="12.75" customHeight="1" x14ac:dyDescent="0.2"/>
    <row r="368" ht="12.75" customHeight="1" x14ac:dyDescent="0.2"/>
    <row r="369" ht="12.75" customHeight="1" x14ac:dyDescent="0.2"/>
    <row r="370" ht="12.75" customHeight="1" x14ac:dyDescent="0.2"/>
    <row r="371" ht="12.75" customHeight="1" x14ac:dyDescent="0.2"/>
    <row r="372" ht="12.75" customHeight="1" x14ac:dyDescent="0.2"/>
    <row r="373" ht="12.75" customHeight="1" x14ac:dyDescent="0.2"/>
    <row r="374" ht="12.75" customHeight="1" x14ac:dyDescent="0.2"/>
    <row r="375" ht="12.75" customHeight="1" x14ac:dyDescent="0.2"/>
    <row r="376" ht="12.75" customHeight="1" x14ac:dyDescent="0.2"/>
    <row r="377" ht="12.75" customHeight="1" x14ac:dyDescent="0.2"/>
    <row r="378" ht="12.75" customHeight="1" x14ac:dyDescent="0.2"/>
    <row r="379" ht="12.75" customHeight="1" x14ac:dyDescent="0.2"/>
    <row r="380" ht="12.75" customHeight="1" x14ac:dyDescent="0.2"/>
    <row r="381" ht="12.75" customHeight="1" x14ac:dyDescent="0.2"/>
    <row r="382" ht="12.75" customHeight="1" x14ac:dyDescent="0.2"/>
    <row r="383" ht="12.75" customHeight="1" x14ac:dyDescent="0.2"/>
    <row r="384" ht="12.75" customHeight="1" x14ac:dyDescent="0.2"/>
    <row r="385" ht="12.75" customHeight="1" x14ac:dyDescent="0.2"/>
    <row r="386" ht="12.75" customHeight="1" x14ac:dyDescent="0.2"/>
    <row r="387" ht="12.75" customHeight="1" x14ac:dyDescent="0.2"/>
    <row r="388" ht="12.75" customHeight="1" x14ac:dyDescent="0.2"/>
    <row r="389" ht="12.75" customHeight="1" x14ac:dyDescent="0.2"/>
    <row r="390" ht="12.75" customHeight="1" x14ac:dyDescent="0.2"/>
    <row r="391" ht="12.75" customHeight="1" x14ac:dyDescent="0.2"/>
    <row r="392" ht="12.75" customHeight="1" x14ac:dyDescent="0.2"/>
    <row r="393" ht="12.75" customHeight="1" x14ac:dyDescent="0.2"/>
    <row r="394" ht="12.75" customHeight="1" x14ac:dyDescent="0.2"/>
    <row r="395" ht="12.75" customHeight="1" x14ac:dyDescent="0.2"/>
    <row r="396" ht="12.75" customHeight="1" x14ac:dyDescent="0.2"/>
    <row r="397" ht="12.75" customHeight="1" x14ac:dyDescent="0.2"/>
    <row r="398" ht="12.75" customHeight="1" x14ac:dyDescent="0.2"/>
    <row r="399" ht="12.75" customHeight="1" x14ac:dyDescent="0.2"/>
    <row r="400" ht="12.75" customHeight="1" x14ac:dyDescent="0.2"/>
    <row r="401" ht="12.75" customHeight="1" x14ac:dyDescent="0.2"/>
    <row r="402" ht="12.75" customHeight="1" x14ac:dyDescent="0.2"/>
    <row r="403" ht="12.75" customHeight="1" x14ac:dyDescent="0.2"/>
    <row r="404" ht="12.75" customHeight="1" x14ac:dyDescent="0.2"/>
    <row r="405" ht="12.75" customHeight="1" x14ac:dyDescent="0.2"/>
    <row r="406" ht="12.75" customHeight="1" x14ac:dyDescent="0.2"/>
    <row r="407" ht="12.75" customHeight="1" x14ac:dyDescent="0.2"/>
    <row r="408" ht="12.75" customHeight="1" x14ac:dyDescent="0.2"/>
    <row r="409" ht="12.75" customHeight="1" x14ac:dyDescent="0.2"/>
    <row r="410" ht="12.75" customHeight="1" x14ac:dyDescent="0.2"/>
    <row r="411" ht="12.75" customHeight="1" x14ac:dyDescent="0.2"/>
    <row r="412" ht="12.75" customHeight="1" x14ac:dyDescent="0.2"/>
    <row r="413" ht="12.75" customHeight="1" x14ac:dyDescent="0.2"/>
    <row r="414" ht="12.75" customHeight="1" x14ac:dyDescent="0.2"/>
    <row r="415" ht="12.75" customHeight="1" x14ac:dyDescent="0.2"/>
    <row r="416" ht="12.75" customHeight="1" x14ac:dyDescent="0.2"/>
    <row r="417" ht="12.75" customHeight="1" x14ac:dyDescent="0.2"/>
    <row r="418" ht="12.75" customHeight="1" x14ac:dyDescent="0.2"/>
    <row r="419" ht="12.75" customHeight="1" x14ac:dyDescent="0.2"/>
    <row r="420" ht="12.75" customHeight="1" x14ac:dyDescent="0.2"/>
    <row r="421" ht="12.75" customHeight="1" x14ac:dyDescent="0.2"/>
    <row r="422" ht="12.75" customHeight="1" x14ac:dyDescent="0.2"/>
    <row r="423" ht="12.75" customHeight="1" x14ac:dyDescent="0.2"/>
    <row r="424" ht="12.75" customHeight="1" x14ac:dyDescent="0.2"/>
    <row r="425" ht="12.75" customHeight="1" x14ac:dyDescent="0.2"/>
    <row r="426" ht="12.75" customHeight="1" x14ac:dyDescent="0.2"/>
    <row r="427" ht="12.75" customHeight="1" x14ac:dyDescent="0.2"/>
    <row r="428" ht="12.75" customHeight="1" x14ac:dyDescent="0.2"/>
    <row r="429" ht="12.75" customHeight="1" x14ac:dyDescent="0.2"/>
    <row r="430" ht="12.75" customHeight="1" x14ac:dyDescent="0.2"/>
    <row r="431" ht="12.75" customHeight="1" x14ac:dyDescent="0.2"/>
    <row r="432" ht="12.75" customHeight="1" x14ac:dyDescent="0.2"/>
    <row r="433" ht="12.75" customHeight="1" x14ac:dyDescent="0.2"/>
    <row r="434" ht="12.75" customHeight="1" x14ac:dyDescent="0.2"/>
    <row r="435" ht="12.75" customHeight="1" x14ac:dyDescent="0.2"/>
    <row r="436" ht="12.75" customHeight="1" x14ac:dyDescent="0.2"/>
    <row r="437" ht="12.75" customHeight="1" x14ac:dyDescent="0.2"/>
    <row r="438" ht="12.75" customHeight="1" x14ac:dyDescent="0.2"/>
    <row r="439" ht="12.75" customHeight="1" x14ac:dyDescent="0.2"/>
    <row r="440" ht="12.75" customHeight="1" x14ac:dyDescent="0.2"/>
    <row r="441" ht="12.75" customHeight="1" x14ac:dyDescent="0.2"/>
    <row r="442" ht="12.75" customHeight="1" x14ac:dyDescent="0.2"/>
    <row r="443" ht="12.75" customHeight="1" x14ac:dyDescent="0.2"/>
    <row r="444" ht="12.75" customHeight="1" x14ac:dyDescent="0.2"/>
    <row r="445" ht="12.75" customHeight="1" x14ac:dyDescent="0.2"/>
    <row r="446" ht="12.75" customHeight="1" x14ac:dyDescent="0.2"/>
    <row r="447" ht="12.75" customHeight="1" x14ac:dyDescent="0.2"/>
    <row r="448" ht="12.75" customHeight="1" x14ac:dyDescent="0.2"/>
    <row r="449" ht="12.75" customHeight="1" x14ac:dyDescent="0.2"/>
    <row r="450" ht="12.75" customHeight="1" x14ac:dyDescent="0.2"/>
    <row r="451" ht="12.75" customHeight="1" x14ac:dyDescent="0.2"/>
    <row r="452" ht="12.75" customHeight="1" x14ac:dyDescent="0.2"/>
    <row r="453" ht="12.75" customHeight="1" x14ac:dyDescent="0.2"/>
    <row r="454" ht="12.75" customHeight="1" x14ac:dyDescent="0.2"/>
    <row r="455" ht="12.75" customHeight="1" x14ac:dyDescent="0.2"/>
    <row r="456" ht="12.75" customHeight="1" x14ac:dyDescent="0.2"/>
    <row r="457" ht="12.75" customHeight="1" x14ac:dyDescent="0.2"/>
    <row r="458" ht="12.75" customHeight="1" x14ac:dyDescent="0.2"/>
    <row r="459" ht="12.75" customHeight="1" x14ac:dyDescent="0.2"/>
    <row r="460" ht="12.75" customHeight="1" x14ac:dyDescent="0.2"/>
    <row r="461" ht="12.75" customHeight="1" x14ac:dyDescent="0.2"/>
    <row r="462" ht="12.75" customHeight="1" x14ac:dyDescent="0.2"/>
    <row r="463" ht="12.75" customHeight="1" x14ac:dyDescent="0.2"/>
    <row r="464" ht="12.75" customHeight="1" x14ac:dyDescent="0.2"/>
    <row r="465" ht="12.75" customHeight="1" x14ac:dyDescent="0.2"/>
    <row r="466" ht="12.75" customHeight="1" x14ac:dyDescent="0.2"/>
    <row r="467" ht="12.75" customHeight="1" x14ac:dyDescent="0.2"/>
    <row r="468" ht="12.75" customHeight="1" x14ac:dyDescent="0.2"/>
    <row r="469" ht="12.75" customHeight="1" x14ac:dyDescent="0.2"/>
    <row r="470" ht="12.75" customHeight="1" x14ac:dyDescent="0.2"/>
    <row r="471" ht="12.75" customHeight="1" x14ac:dyDescent="0.2"/>
    <row r="472" ht="12.75" customHeight="1" x14ac:dyDescent="0.2"/>
    <row r="473" ht="12.75" customHeight="1" x14ac:dyDescent="0.2"/>
    <row r="474" ht="12.75" customHeight="1" x14ac:dyDescent="0.2"/>
    <row r="475" ht="12.75" customHeight="1" x14ac:dyDescent="0.2"/>
    <row r="476" ht="12.75" customHeight="1" x14ac:dyDescent="0.2"/>
    <row r="477" ht="12.75" customHeight="1" x14ac:dyDescent="0.2"/>
    <row r="478" ht="12.75" customHeight="1" x14ac:dyDescent="0.2"/>
    <row r="479" ht="12.75" customHeight="1" x14ac:dyDescent="0.2"/>
    <row r="480" ht="12.75" customHeight="1" x14ac:dyDescent="0.2"/>
    <row r="481" ht="12.75" customHeight="1" x14ac:dyDescent="0.2"/>
    <row r="482" ht="12.75" customHeight="1" x14ac:dyDescent="0.2"/>
    <row r="483" ht="12.75" customHeight="1" x14ac:dyDescent="0.2"/>
    <row r="484" ht="12.75" customHeight="1" x14ac:dyDescent="0.2"/>
    <row r="485" ht="12.75" customHeight="1" x14ac:dyDescent="0.2"/>
    <row r="486" ht="12.75" customHeight="1" x14ac:dyDescent="0.2"/>
    <row r="487" ht="12.75" customHeight="1" x14ac:dyDescent="0.2"/>
    <row r="488" ht="12.75" customHeight="1" x14ac:dyDescent="0.2"/>
    <row r="489" ht="12.75" customHeight="1" x14ac:dyDescent="0.2"/>
    <row r="490" ht="12.75" customHeight="1" x14ac:dyDescent="0.2"/>
    <row r="491" ht="12.75" customHeight="1" x14ac:dyDescent="0.2"/>
    <row r="492" ht="12.75" customHeight="1" x14ac:dyDescent="0.2"/>
    <row r="493" ht="12.75" customHeight="1" x14ac:dyDescent="0.2"/>
    <row r="494" ht="12.75" customHeight="1" x14ac:dyDescent="0.2"/>
    <row r="495" ht="12.75" customHeight="1" x14ac:dyDescent="0.2"/>
    <row r="496" ht="12.75" customHeight="1" x14ac:dyDescent="0.2"/>
    <row r="497" ht="12.75" customHeight="1" x14ac:dyDescent="0.2"/>
    <row r="498" ht="12.75" customHeight="1" x14ac:dyDescent="0.2"/>
    <row r="499" ht="12.75" customHeight="1" x14ac:dyDescent="0.2"/>
    <row r="500" ht="12.75" customHeight="1" x14ac:dyDescent="0.2"/>
    <row r="501" ht="12.75" customHeight="1" x14ac:dyDescent="0.2"/>
    <row r="502" ht="12.75" customHeight="1" x14ac:dyDescent="0.2"/>
    <row r="503" ht="12.75" customHeight="1" x14ac:dyDescent="0.2"/>
    <row r="504" ht="12.75" customHeight="1" x14ac:dyDescent="0.2"/>
    <row r="505" ht="12.75" customHeight="1" x14ac:dyDescent="0.2"/>
    <row r="506" ht="12.75" customHeight="1" x14ac:dyDescent="0.2"/>
    <row r="507" ht="12.75" customHeight="1" x14ac:dyDescent="0.2"/>
    <row r="508" ht="12.75" customHeight="1" x14ac:dyDescent="0.2"/>
    <row r="509" ht="12.75" customHeight="1" x14ac:dyDescent="0.2"/>
    <row r="510" ht="12.75" customHeight="1" x14ac:dyDescent="0.2"/>
    <row r="511" ht="12.75" customHeight="1" x14ac:dyDescent="0.2"/>
    <row r="512" ht="12.75" customHeight="1" x14ac:dyDescent="0.2"/>
    <row r="513" ht="12.75" customHeight="1" x14ac:dyDescent="0.2"/>
    <row r="514" ht="12.75" customHeight="1" x14ac:dyDescent="0.2"/>
    <row r="515" ht="12.75" customHeight="1" x14ac:dyDescent="0.2"/>
    <row r="516" ht="12.75" customHeight="1" x14ac:dyDescent="0.2"/>
    <row r="517" ht="12.75" customHeight="1" x14ac:dyDescent="0.2"/>
    <row r="518" ht="12.75" customHeight="1" x14ac:dyDescent="0.2"/>
    <row r="519" ht="12.75" customHeight="1" x14ac:dyDescent="0.2"/>
    <row r="520" ht="12.75" customHeight="1" x14ac:dyDescent="0.2"/>
    <row r="521" ht="12.75" customHeight="1" x14ac:dyDescent="0.2"/>
    <row r="522" ht="12.75" customHeight="1" x14ac:dyDescent="0.2"/>
    <row r="523" ht="12.75" customHeight="1" x14ac:dyDescent="0.2"/>
    <row r="524" ht="12.75" customHeight="1" x14ac:dyDescent="0.2"/>
    <row r="525" ht="12.75" customHeight="1" x14ac:dyDescent="0.2"/>
    <row r="526" ht="12.75" customHeight="1" x14ac:dyDescent="0.2"/>
    <row r="527" ht="12.75" customHeight="1" x14ac:dyDescent="0.2"/>
    <row r="528" ht="12.75" customHeight="1" x14ac:dyDescent="0.2"/>
    <row r="529" ht="12.75" customHeight="1" x14ac:dyDescent="0.2"/>
    <row r="530" ht="12.75" customHeight="1" x14ac:dyDescent="0.2"/>
    <row r="531" ht="12.75" customHeight="1" x14ac:dyDescent="0.2"/>
    <row r="532" ht="12.75" customHeight="1" x14ac:dyDescent="0.2"/>
    <row r="533" ht="12.75" customHeight="1" x14ac:dyDescent="0.2"/>
    <row r="534" ht="12.75" customHeight="1" x14ac:dyDescent="0.2"/>
    <row r="535" ht="12.75" customHeight="1" x14ac:dyDescent="0.2"/>
    <row r="536" ht="12.75" customHeight="1" x14ac:dyDescent="0.2"/>
    <row r="537" ht="12.75" customHeight="1" x14ac:dyDescent="0.2"/>
    <row r="538" ht="12.75" customHeight="1" x14ac:dyDescent="0.2"/>
    <row r="539" ht="12.75" customHeight="1" x14ac:dyDescent="0.2"/>
    <row r="540" ht="12.75" customHeight="1" x14ac:dyDescent="0.2"/>
    <row r="541" ht="12.75" customHeight="1" x14ac:dyDescent="0.2"/>
    <row r="542" ht="12.75" customHeight="1" x14ac:dyDescent="0.2"/>
    <row r="543" ht="12.75" customHeight="1" x14ac:dyDescent="0.2"/>
    <row r="544" ht="12.75" customHeight="1" x14ac:dyDescent="0.2"/>
    <row r="545" ht="12.75" customHeight="1" x14ac:dyDescent="0.2"/>
    <row r="546" ht="12.75" customHeight="1" x14ac:dyDescent="0.2"/>
    <row r="547" ht="12.75" customHeight="1" x14ac:dyDescent="0.2"/>
    <row r="548" ht="12.75" customHeight="1" x14ac:dyDescent="0.2"/>
    <row r="549" ht="12.75" customHeight="1" x14ac:dyDescent="0.2"/>
    <row r="550" ht="12.75" customHeight="1" x14ac:dyDescent="0.2"/>
    <row r="551" ht="12.75" customHeight="1" x14ac:dyDescent="0.2"/>
    <row r="552" ht="12.75" customHeight="1" x14ac:dyDescent="0.2"/>
    <row r="553" ht="12.75" customHeight="1" x14ac:dyDescent="0.2"/>
    <row r="554" ht="12.75" customHeight="1" x14ac:dyDescent="0.2"/>
    <row r="555" ht="12.75" customHeight="1" x14ac:dyDescent="0.2"/>
    <row r="556" ht="12.75" customHeight="1" x14ac:dyDescent="0.2"/>
    <row r="557" ht="12.75" customHeight="1" x14ac:dyDescent="0.2"/>
    <row r="558" ht="12.75" customHeight="1" x14ac:dyDescent="0.2"/>
    <row r="559" ht="12.75" customHeight="1" x14ac:dyDescent="0.2"/>
    <row r="560" ht="12.75" customHeight="1" x14ac:dyDescent="0.2"/>
    <row r="561" ht="12.75" customHeight="1" x14ac:dyDescent="0.2"/>
    <row r="562" ht="12.75" customHeight="1" x14ac:dyDescent="0.2"/>
    <row r="563" ht="12.75" customHeight="1" x14ac:dyDescent="0.2"/>
    <row r="564" ht="12.75" customHeight="1" x14ac:dyDescent="0.2"/>
    <row r="565" ht="12.75" customHeight="1" x14ac:dyDescent="0.2"/>
    <row r="566" ht="12.75" customHeight="1" x14ac:dyDescent="0.2"/>
    <row r="567" ht="12.75" customHeight="1" x14ac:dyDescent="0.2"/>
    <row r="568" ht="12.75" customHeight="1" x14ac:dyDescent="0.2"/>
    <row r="569" ht="12.75" customHeight="1" x14ac:dyDescent="0.2"/>
    <row r="570" ht="12.75" customHeight="1" x14ac:dyDescent="0.2"/>
    <row r="571" ht="12.75" customHeight="1" x14ac:dyDescent="0.2"/>
    <row r="572" ht="12.75" customHeight="1" x14ac:dyDescent="0.2"/>
    <row r="573" ht="12.75" customHeight="1" x14ac:dyDescent="0.2"/>
    <row r="574" ht="12.75" customHeight="1" x14ac:dyDescent="0.2"/>
    <row r="575" ht="12.75" customHeight="1" x14ac:dyDescent="0.2"/>
    <row r="576" ht="12.75" customHeight="1" x14ac:dyDescent="0.2"/>
    <row r="577" ht="12.75" customHeight="1" x14ac:dyDescent="0.2"/>
    <row r="578" ht="12.75" customHeight="1" x14ac:dyDescent="0.2"/>
    <row r="579" ht="12.75" customHeight="1" x14ac:dyDescent="0.2"/>
    <row r="580" ht="12.75" customHeight="1" x14ac:dyDescent="0.2"/>
    <row r="581" ht="12.75" customHeight="1" x14ac:dyDescent="0.2"/>
    <row r="582" ht="12.75" customHeight="1" x14ac:dyDescent="0.2"/>
    <row r="583" ht="12.75" customHeight="1" x14ac:dyDescent="0.2"/>
    <row r="584" ht="12.75" customHeight="1" x14ac:dyDescent="0.2"/>
    <row r="585" ht="12.75" customHeight="1" x14ac:dyDescent="0.2"/>
    <row r="586" ht="12.75" customHeight="1" x14ac:dyDescent="0.2"/>
    <row r="587" ht="12.75" customHeight="1" x14ac:dyDescent="0.2"/>
    <row r="588" ht="12.75" customHeight="1" x14ac:dyDescent="0.2"/>
    <row r="589" ht="12.75" customHeight="1" x14ac:dyDescent="0.2"/>
    <row r="590" ht="12.75" customHeight="1" x14ac:dyDescent="0.2"/>
    <row r="591" ht="12.75" customHeight="1" x14ac:dyDescent="0.2"/>
    <row r="592" ht="12.75" customHeight="1" x14ac:dyDescent="0.2"/>
    <row r="593" ht="12.75" customHeight="1" x14ac:dyDescent="0.2"/>
    <row r="594" ht="12.75" customHeight="1" x14ac:dyDescent="0.2"/>
    <row r="595" ht="12.75" customHeight="1" x14ac:dyDescent="0.2"/>
    <row r="596" ht="12.75" customHeight="1" x14ac:dyDescent="0.2"/>
    <row r="597" ht="12.75" customHeight="1" x14ac:dyDescent="0.2"/>
    <row r="598" ht="12.75" customHeight="1" x14ac:dyDescent="0.2"/>
    <row r="599" ht="12.75" customHeight="1" x14ac:dyDescent="0.2"/>
    <row r="600" ht="12.75" customHeight="1" x14ac:dyDescent="0.2"/>
    <row r="601" ht="12.75" customHeight="1" x14ac:dyDescent="0.2"/>
    <row r="602" ht="12.75" customHeight="1" x14ac:dyDescent="0.2"/>
    <row r="603" ht="12.75" customHeight="1" x14ac:dyDescent="0.2"/>
    <row r="604" ht="12.75" customHeight="1" x14ac:dyDescent="0.2"/>
    <row r="605" ht="12.75" customHeight="1" x14ac:dyDescent="0.2"/>
    <row r="606" ht="12.75" customHeight="1" x14ac:dyDescent="0.2"/>
    <row r="607" ht="12.75" customHeight="1" x14ac:dyDescent="0.2"/>
    <row r="608" ht="12.75" customHeight="1" x14ac:dyDescent="0.2"/>
    <row r="609" ht="12.75" customHeight="1" x14ac:dyDescent="0.2"/>
    <row r="610" ht="12.75" customHeight="1" x14ac:dyDescent="0.2"/>
    <row r="611" ht="12.75" customHeight="1" x14ac:dyDescent="0.2"/>
    <row r="612" ht="12.75" customHeight="1" x14ac:dyDescent="0.2"/>
    <row r="613" ht="12.75" customHeight="1" x14ac:dyDescent="0.2"/>
    <row r="614" ht="12.75" customHeight="1" x14ac:dyDescent="0.2"/>
    <row r="615" ht="12.75" customHeight="1" x14ac:dyDescent="0.2"/>
    <row r="616" ht="12.75" customHeight="1" x14ac:dyDescent="0.2"/>
    <row r="617" ht="12.75" customHeight="1" x14ac:dyDescent="0.2"/>
    <row r="618" ht="12.75" customHeight="1" x14ac:dyDescent="0.2"/>
    <row r="619" ht="12.75" customHeight="1" x14ac:dyDescent="0.2"/>
    <row r="620" ht="12.75" customHeight="1" x14ac:dyDescent="0.2"/>
    <row r="621" ht="12.75" customHeight="1" x14ac:dyDescent="0.2"/>
    <row r="622" ht="12.75" customHeight="1" x14ac:dyDescent="0.2"/>
    <row r="623" ht="12.75" customHeight="1" x14ac:dyDescent="0.2"/>
    <row r="624" ht="12.75" customHeight="1" x14ac:dyDescent="0.2"/>
    <row r="625" ht="12.75" customHeight="1" x14ac:dyDescent="0.2"/>
    <row r="626" ht="12.75" customHeight="1" x14ac:dyDescent="0.2"/>
    <row r="627" ht="12.75" customHeight="1" x14ac:dyDescent="0.2"/>
    <row r="628" ht="12.75" customHeight="1" x14ac:dyDescent="0.2"/>
    <row r="629" ht="12.75" customHeight="1" x14ac:dyDescent="0.2"/>
    <row r="630" ht="12.75" customHeight="1" x14ac:dyDescent="0.2"/>
    <row r="631" ht="12.75" customHeight="1" x14ac:dyDescent="0.2"/>
    <row r="632" ht="12.75" customHeight="1" x14ac:dyDescent="0.2"/>
    <row r="633" ht="12.75" customHeight="1" x14ac:dyDescent="0.2"/>
    <row r="634" ht="12.75" customHeight="1" x14ac:dyDescent="0.2"/>
    <row r="635" ht="12.75" customHeight="1" x14ac:dyDescent="0.2"/>
    <row r="636" ht="12.75" customHeight="1" x14ac:dyDescent="0.2"/>
    <row r="637" ht="12.75" customHeight="1" x14ac:dyDescent="0.2"/>
    <row r="638" ht="12.75" customHeight="1" x14ac:dyDescent="0.2"/>
    <row r="639" ht="12.75" customHeight="1" x14ac:dyDescent="0.2"/>
    <row r="640" ht="12.75" customHeight="1" x14ac:dyDescent="0.2"/>
    <row r="641" ht="12.75" customHeight="1" x14ac:dyDescent="0.2"/>
    <row r="642" ht="12.75" customHeight="1" x14ac:dyDescent="0.2"/>
    <row r="643" ht="12.75" customHeight="1" x14ac:dyDescent="0.2"/>
    <row r="644" ht="12.75" customHeight="1" x14ac:dyDescent="0.2"/>
    <row r="645" ht="12.75" customHeight="1" x14ac:dyDescent="0.2"/>
    <row r="646" ht="12.75" customHeight="1" x14ac:dyDescent="0.2"/>
    <row r="647" ht="12.75" customHeight="1" x14ac:dyDescent="0.2"/>
    <row r="648" ht="12.75" customHeight="1" x14ac:dyDescent="0.2"/>
    <row r="649" ht="12.75" customHeight="1" x14ac:dyDescent="0.2"/>
    <row r="650" ht="12.75" customHeight="1" x14ac:dyDescent="0.2"/>
    <row r="651" ht="12.75" customHeight="1" x14ac:dyDescent="0.2"/>
    <row r="652" ht="12.75" customHeight="1" x14ac:dyDescent="0.2"/>
    <row r="653" ht="12.75" customHeight="1" x14ac:dyDescent="0.2"/>
    <row r="654" ht="12.75" customHeight="1" x14ac:dyDescent="0.2"/>
    <row r="655" ht="12.75" customHeight="1" x14ac:dyDescent="0.2"/>
    <row r="656" ht="12.75" customHeight="1" x14ac:dyDescent="0.2"/>
    <row r="657" ht="12.75" customHeight="1" x14ac:dyDescent="0.2"/>
    <row r="658" ht="12.75" customHeight="1" x14ac:dyDescent="0.2"/>
    <row r="659" ht="12.75" customHeight="1" x14ac:dyDescent="0.2"/>
    <row r="660" ht="12.75" customHeight="1" x14ac:dyDescent="0.2"/>
    <row r="661" ht="12.75" customHeight="1" x14ac:dyDescent="0.2"/>
    <row r="662" ht="12.75" customHeight="1" x14ac:dyDescent="0.2"/>
    <row r="663" ht="12.75" customHeight="1" x14ac:dyDescent="0.2"/>
    <row r="664" ht="12.75" customHeight="1" x14ac:dyDescent="0.2"/>
    <row r="665" ht="12.75" customHeight="1" x14ac:dyDescent="0.2"/>
    <row r="666" ht="12.75" customHeight="1" x14ac:dyDescent="0.2"/>
    <row r="667" ht="12.75" customHeight="1" x14ac:dyDescent="0.2"/>
    <row r="668" ht="12.75" customHeight="1" x14ac:dyDescent="0.2"/>
    <row r="669" ht="12.75" customHeight="1" x14ac:dyDescent="0.2"/>
    <row r="670" ht="12.75" customHeight="1" x14ac:dyDescent="0.2"/>
    <row r="671" ht="12.75" customHeight="1" x14ac:dyDescent="0.2"/>
    <row r="672" ht="12.75" customHeight="1" x14ac:dyDescent="0.2"/>
    <row r="673" ht="12.75" customHeight="1" x14ac:dyDescent="0.2"/>
    <row r="674" ht="12.75" customHeight="1" x14ac:dyDescent="0.2"/>
    <row r="675" ht="12.75" customHeight="1" x14ac:dyDescent="0.2"/>
    <row r="676" ht="12.75" customHeight="1" x14ac:dyDescent="0.2"/>
    <row r="677" ht="12.75" customHeight="1" x14ac:dyDescent="0.2"/>
    <row r="678" ht="12.75" customHeight="1" x14ac:dyDescent="0.2"/>
    <row r="679" ht="12.75" customHeight="1" x14ac:dyDescent="0.2"/>
    <row r="680" ht="12.75" customHeight="1" x14ac:dyDescent="0.2"/>
    <row r="681" ht="12.75" customHeight="1" x14ac:dyDescent="0.2"/>
    <row r="682" ht="12.75" customHeight="1" x14ac:dyDescent="0.2"/>
    <row r="683" ht="12.75" customHeight="1" x14ac:dyDescent="0.2"/>
    <row r="684" ht="12.75" customHeight="1" x14ac:dyDescent="0.2"/>
    <row r="685" ht="12.75" customHeight="1" x14ac:dyDescent="0.2"/>
    <row r="686" ht="12.75" customHeight="1" x14ac:dyDescent="0.2"/>
    <row r="687" ht="12.75" customHeight="1" x14ac:dyDescent="0.2"/>
    <row r="688" ht="12.75" customHeight="1" x14ac:dyDescent="0.2"/>
    <row r="689" ht="12.75" customHeight="1" x14ac:dyDescent="0.2"/>
    <row r="690" ht="12.75" customHeight="1" x14ac:dyDescent="0.2"/>
    <row r="691" ht="12.75" customHeight="1" x14ac:dyDescent="0.2"/>
    <row r="692" ht="12.75" customHeight="1" x14ac:dyDescent="0.2"/>
    <row r="693" ht="12.75" customHeight="1" x14ac:dyDescent="0.2"/>
    <row r="694" ht="12.75" customHeight="1" x14ac:dyDescent="0.2"/>
    <row r="695" ht="12.75" customHeight="1" x14ac:dyDescent="0.2"/>
    <row r="696" ht="12.75" customHeight="1" x14ac:dyDescent="0.2"/>
    <row r="697" ht="12.75" customHeight="1" x14ac:dyDescent="0.2"/>
    <row r="698" ht="12.75" customHeight="1" x14ac:dyDescent="0.2"/>
    <row r="699" ht="12.75" customHeight="1" x14ac:dyDescent="0.2"/>
    <row r="700" ht="12.75" customHeight="1" x14ac:dyDescent="0.2"/>
    <row r="701" ht="12.75" customHeight="1" x14ac:dyDescent="0.2"/>
    <row r="702" ht="12.75" customHeight="1" x14ac:dyDescent="0.2"/>
    <row r="703" ht="12.75" customHeight="1" x14ac:dyDescent="0.2"/>
    <row r="704" ht="12.75" customHeight="1" x14ac:dyDescent="0.2"/>
    <row r="705" ht="12.75" customHeight="1" x14ac:dyDescent="0.2"/>
    <row r="706" ht="12.75" customHeight="1" x14ac:dyDescent="0.2"/>
    <row r="707" ht="12.75" customHeight="1" x14ac:dyDescent="0.2"/>
    <row r="708" ht="12.75" customHeight="1" x14ac:dyDescent="0.2"/>
    <row r="709" ht="12.75" customHeight="1" x14ac:dyDescent="0.2"/>
    <row r="710" ht="12.75" customHeight="1" x14ac:dyDescent="0.2"/>
    <row r="711" ht="12.75" customHeight="1" x14ac:dyDescent="0.2"/>
    <row r="712" ht="12.75" customHeight="1" x14ac:dyDescent="0.2"/>
    <row r="713" ht="12.75" customHeight="1" x14ac:dyDescent="0.2"/>
    <row r="714" ht="12.75" customHeight="1" x14ac:dyDescent="0.2"/>
    <row r="715" ht="12.75" customHeight="1" x14ac:dyDescent="0.2"/>
    <row r="716" ht="12.75" customHeight="1" x14ac:dyDescent="0.2"/>
    <row r="717" ht="12.75" customHeight="1" x14ac:dyDescent="0.2"/>
    <row r="718" ht="12.75" customHeight="1" x14ac:dyDescent="0.2"/>
    <row r="719" ht="12.75" customHeight="1" x14ac:dyDescent="0.2"/>
    <row r="720" ht="12.75" customHeight="1" x14ac:dyDescent="0.2"/>
    <row r="721" ht="12.75" customHeight="1" x14ac:dyDescent="0.2"/>
    <row r="722" ht="12.75" customHeight="1" x14ac:dyDescent="0.2"/>
    <row r="723" ht="12.75" customHeight="1" x14ac:dyDescent="0.2"/>
    <row r="724" ht="12.75" customHeight="1" x14ac:dyDescent="0.2"/>
    <row r="725" ht="12.75" customHeight="1" x14ac:dyDescent="0.2"/>
    <row r="726" ht="12.75" customHeight="1" x14ac:dyDescent="0.2"/>
    <row r="727" ht="12.75" customHeight="1" x14ac:dyDescent="0.2"/>
    <row r="728" ht="12.75" customHeight="1" x14ac:dyDescent="0.2"/>
    <row r="729" ht="12.75" customHeight="1" x14ac:dyDescent="0.2"/>
    <row r="730" ht="12.75" customHeight="1" x14ac:dyDescent="0.2"/>
    <row r="731" ht="12.75" customHeight="1" x14ac:dyDescent="0.2"/>
    <row r="732" ht="12.75" customHeight="1" x14ac:dyDescent="0.2"/>
    <row r="733" ht="12.75" customHeight="1" x14ac:dyDescent="0.2"/>
    <row r="734" ht="12.75" customHeight="1" x14ac:dyDescent="0.2"/>
    <row r="735" ht="12.75" customHeight="1" x14ac:dyDescent="0.2"/>
    <row r="736" ht="12.75" customHeight="1" x14ac:dyDescent="0.2"/>
    <row r="737" ht="12.75" customHeight="1" x14ac:dyDescent="0.2"/>
    <row r="738" ht="12.75" customHeight="1" x14ac:dyDescent="0.2"/>
    <row r="739" ht="12.75" customHeight="1" x14ac:dyDescent="0.2"/>
    <row r="740" ht="12.75" customHeight="1" x14ac:dyDescent="0.2"/>
    <row r="741" ht="12.75" customHeight="1" x14ac:dyDescent="0.2"/>
    <row r="742" ht="12.75" customHeight="1" x14ac:dyDescent="0.2"/>
    <row r="743" ht="12.75" customHeight="1" x14ac:dyDescent="0.2"/>
    <row r="744" ht="12.75" customHeight="1" x14ac:dyDescent="0.2"/>
    <row r="745" ht="12.75" customHeight="1" x14ac:dyDescent="0.2"/>
    <row r="746" ht="12.75" customHeight="1" x14ac:dyDescent="0.2"/>
    <row r="747" ht="12.75" customHeight="1" x14ac:dyDescent="0.2"/>
    <row r="748" ht="12.75" customHeight="1" x14ac:dyDescent="0.2"/>
    <row r="749" ht="12.75" customHeight="1" x14ac:dyDescent="0.2"/>
    <row r="750" ht="12.75" customHeight="1" x14ac:dyDescent="0.2"/>
    <row r="751" ht="12.75" customHeight="1" x14ac:dyDescent="0.2"/>
    <row r="752" ht="12.75" customHeight="1" x14ac:dyDescent="0.2"/>
    <row r="753" ht="12.75" customHeight="1" x14ac:dyDescent="0.2"/>
    <row r="754" ht="12.75" customHeight="1" x14ac:dyDescent="0.2"/>
    <row r="755" ht="12.75" customHeight="1" x14ac:dyDescent="0.2"/>
    <row r="756" ht="12.75" customHeight="1" x14ac:dyDescent="0.2"/>
    <row r="757" ht="12.75" customHeight="1" x14ac:dyDescent="0.2"/>
    <row r="758" ht="12.75" customHeight="1" x14ac:dyDescent="0.2"/>
    <row r="759" ht="12.75" customHeight="1" x14ac:dyDescent="0.2"/>
    <row r="760" ht="12.75" customHeight="1" x14ac:dyDescent="0.2"/>
    <row r="761" ht="12.75" customHeight="1" x14ac:dyDescent="0.2"/>
    <row r="762" ht="12.75" customHeight="1" x14ac:dyDescent="0.2"/>
    <row r="763" ht="12.75" customHeight="1" x14ac:dyDescent="0.2"/>
    <row r="764" ht="12.75" customHeight="1" x14ac:dyDescent="0.2"/>
    <row r="765" ht="12.75" customHeight="1" x14ac:dyDescent="0.2"/>
    <row r="766" ht="12.75" customHeight="1" x14ac:dyDescent="0.2"/>
    <row r="767" ht="12.75" customHeight="1" x14ac:dyDescent="0.2"/>
    <row r="768" ht="12.75" customHeight="1" x14ac:dyDescent="0.2"/>
    <row r="769" ht="12.75" customHeight="1" x14ac:dyDescent="0.2"/>
    <row r="770" ht="12.75" customHeight="1" x14ac:dyDescent="0.2"/>
    <row r="771" ht="12.75" customHeight="1" x14ac:dyDescent="0.2"/>
    <row r="772" ht="12.75" customHeight="1" x14ac:dyDescent="0.2"/>
    <row r="773" ht="12.75" customHeight="1" x14ac:dyDescent="0.2"/>
    <row r="774" ht="12.75" customHeight="1" x14ac:dyDescent="0.2"/>
    <row r="775" ht="12.75" customHeight="1" x14ac:dyDescent="0.2"/>
    <row r="776" ht="12.75" customHeight="1" x14ac:dyDescent="0.2"/>
    <row r="777" ht="12.75" customHeight="1" x14ac:dyDescent="0.2"/>
    <row r="778" ht="12.75" customHeight="1" x14ac:dyDescent="0.2"/>
    <row r="779" ht="12.75" customHeight="1" x14ac:dyDescent="0.2"/>
    <row r="780" ht="12.75" customHeight="1" x14ac:dyDescent="0.2"/>
    <row r="781" ht="12.75" customHeight="1" x14ac:dyDescent="0.2"/>
    <row r="782" ht="12.75" customHeight="1" x14ac:dyDescent="0.2"/>
    <row r="783" ht="12.75" customHeight="1" x14ac:dyDescent="0.2"/>
    <row r="784" ht="12.75" customHeight="1" x14ac:dyDescent="0.2"/>
    <row r="785" ht="12.75" customHeight="1" x14ac:dyDescent="0.2"/>
    <row r="786" ht="12.75" customHeight="1" x14ac:dyDescent="0.2"/>
    <row r="787" ht="12.75" customHeight="1" x14ac:dyDescent="0.2"/>
    <row r="788" ht="12.75" customHeight="1" x14ac:dyDescent="0.2"/>
    <row r="789" ht="12.75" customHeight="1" x14ac:dyDescent="0.2"/>
    <row r="790" ht="12.75" customHeight="1" x14ac:dyDescent="0.2"/>
    <row r="791" ht="12.75" customHeight="1" x14ac:dyDescent="0.2"/>
    <row r="792" ht="12.75" customHeight="1" x14ac:dyDescent="0.2"/>
    <row r="793" ht="12.75" customHeight="1" x14ac:dyDescent="0.2"/>
    <row r="794" ht="12.75" customHeight="1" x14ac:dyDescent="0.2"/>
    <row r="795" ht="12.75" customHeight="1" x14ac:dyDescent="0.2"/>
    <row r="796" ht="12.75" customHeight="1" x14ac:dyDescent="0.2"/>
    <row r="797" ht="12.75" customHeight="1" x14ac:dyDescent="0.2"/>
    <row r="798" ht="12.75" customHeight="1" x14ac:dyDescent="0.2"/>
    <row r="799" ht="12.75" customHeight="1" x14ac:dyDescent="0.2"/>
    <row r="800" ht="12.75" customHeight="1" x14ac:dyDescent="0.2"/>
    <row r="801" ht="12.75" customHeight="1" x14ac:dyDescent="0.2"/>
    <row r="802" ht="12.75" customHeight="1" x14ac:dyDescent="0.2"/>
    <row r="803" ht="12.75" customHeight="1" x14ac:dyDescent="0.2"/>
    <row r="804" ht="12.75" customHeight="1" x14ac:dyDescent="0.2"/>
    <row r="805" ht="12.75" customHeight="1" x14ac:dyDescent="0.2"/>
    <row r="806" ht="12.75" customHeight="1" x14ac:dyDescent="0.2"/>
    <row r="807" ht="12.75" customHeight="1" x14ac:dyDescent="0.2"/>
    <row r="808" ht="12.75" customHeight="1" x14ac:dyDescent="0.2"/>
    <row r="809" ht="12.75" customHeight="1" x14ac:dyDescent="0.2"/>
    <row r="810" ht="12.75" customHeight="1" x14ac:dyDescent="0.2"/>
    <row r="811" ht="12.75" customHeight="1" x14ac:dyDescent="0.2"/>
    <row r="812" ht="12.75" customHeight="1" x14ac:dyDescent="0.2"/>
    <row r="813" ht="12.75" customHeight="1" x14ac:dyDescent="0.2"/>
    <row r="814" ht="12.75" customHeight="1" x14ac:dyDescent="0.2"/>
    <row r="815" ht="12.75" customHeight="1" x14ac:dyDescent="0.2"/>
    <row r="816" ht="12.75" customHeight="1" x14ac:dyDescent="0.2"/>
    <row r="817" ht="12.75" customHeight="1" x14ac:dyDescent="0.2"/>
    <row r="818" ht="12.75" customHeight="1" x14ac:dyDescent="0.2"/>
    <row r="819" ht="12.75" customHeight="1" x14ac:dyDescent="0.2"/>
    <row r="820" ht="12.75" customHeight="1" x14ac:dyDescent="0.2"/>
    <row r="821" ht="12.75" customHeight="1" x14ac:dyDescent="0.2"/>
    <row r="822" ht="12.75" customHeight="1" x14ac:dyDescent="0.2"/>
    <row r="823" ht="12.75" customHeight="1" x14ac:dyDescent="0.2"/>
    <row r="824" ht="12.75" customHeight="1" x14ac:dyDescent="0.2"/>
    <row r="825" ht="12.75" customHeight="1" x14ac:dyDescent="0.2"/>
    <row r="826" ht="12.75" customHeight="1" x14ac:dyDescent="0.2"/>
    <row r="827" ht="12.75" customHeight="1" x14ac:dyDescent="0.2"/>
    <row r="828" ht="12.75" customHeight="1" x14ac:dyDescent="0.2"/>
    <row r="829" ht="12.75" customHeight="1" x14ac:dyDescent="0.2"/>
    <row r="830" ht="12.75" customHeight="1" x14ac:dyDescent="0.2"/>
    <row r="831" ht="12.75" customHeight="1" x14ac:dyDescent="0.2"/>
    <row r="832" ht="12.75" customHeight="1" x14ac:dyDescent="0.2"/>
    <row r="833" ht="12.75" customHeight="1" x14ac:dyDescent="0.2"/>
    <row r="834" ht="12.75" customHeight="1" x14ac:dyDescent="0.2"/>
    <row r="835" ht="12.75" customHeight="1" x14ac:dyDescent="0.2"/>
    <row r="836" ht="12.75" customHeight="1" x14ac:dyDescent="0.2"/>
    <row r="837" ht="12.75" customHeight="1" x14ac:dyDescent="0.2"/>
    <row r="838" ht="12.75" customHeight="1" x14ac:dyDescent="0.2"/>
    <row r="839" ht="12.75" customHeight="1" x14ac:dyDescent="0.2"/>
    <row r="840" ht="12.75" customHeight="1" x14ac:dyDescent="0.2"/>
    <row r="841" ht="12.75" customHeight="1" x14ac:dyDescent="0.2"/>
    <row r="842" ht="12.75" customHeight="1" x14ac:dyDescent="0.2"/>
    <row r="843" ht="12.75" customHeight="1" x14ac:dyDescent="0.2"/>
    <row r="844" ht="12.75" customHeight="1" x14ac:dyDescent="0.2"/>
    <row r="845" ht="12.75" customHeight="1" x14ac:dyDescent="0.2"/>
    <row r="846" ht="12.75" customHeight="1" x14ac:dyDescent="0.2"/>
    <row r="847" ht="12.75" customHeight="1" x14ac:dyDescent="0.2"/>
    <row r="848" ht="12.75" customHeight="1" x14ac:dyDescent="0.2"/>
    <row r="849" ht="12.75" customHeight="1" x14ac:dyDescent="0.2"/>
    <row r="850" ht="12.75" customHeight="1" x14ac:dyDescent="0.2"/>
    <row r="851" ht="12.75" customHeight="1" x14ac:dyDescent="0.2"/>
    <row r="852" ht="12.75" customHeight="1" x14ac:dyDescent="0.2"/>
    <row r="853" ht="12.75" customHeight="1" x14ac:dyDescent="0.2"/>
    <row r="854" ht="12.75" customHeight="1" x14ac:dyDescent="0.2"/>
    <row r="855" ht="12.75" customHeight="1" x14ac:dyDescent="0.2"/>
    <row r="856" ht="12.75" customHeight="1" x14ac:dyDescent="0.2"/>
    <row r="857" ht="12.75" customHeight="1" x14ac:dyDescent="0.2"/>
    <row r="858" ht="12.75" customHeight="1" x14ac:dyDescent="0.2"/>
    <row r="859" ht="12.75" customHeight="1" x14ac:dyDescent="0.2"/>
    <row r="860" ht="12.75" customHeight="1" x14ac:dyDescent="0.2"/>
    <row r="861" ht="12.75" customHeight="1" x14ac:dyDescent="0.2"/>
    <row r="862" ht="12.75" customHeight="1" x14ac:dyDescent="0.2"/>
    <row r="863" ht="12.75" customHeight="1" x14ac:dyDescent="0.2"/>
    <row r="864" ht="12.75" customHeight="1" x14ac:dyDescent="0.2"/>
    <row r="865" ht="12.75" customHeight="1" x14ac:dyDescent="0.2"/>
    <row r="866" ht="12.75" customHeight="1" x14ac:dyDescent="0.2"/>
    <row r="867" ht="12.75" customHeight="1" x14ac:dyDescent="0.2"/>
    <row r="868" ht="12.75" customHeight="1" x14ac:dyDescent="0.2"/>
    <row r="869" ht="12.75" customHeight="1" x14ac:dyDescent="0.2"/>
    <row r="870" ht="12.75" customHeight="1" x14ac:dyDescent="0.2"/>
    <row r="871" ht="12.75" customHeight="1" x14ac:dyDescent="0.2"/>
    <row r="872" ht="12.75" customHeight="1" x14ac:dyDescent="0.2"/>
    <row r="873" ht="12.75" customHeight="1" x14ac:dyDescent="0.2"/>
    <row r="874" ht="12.75" customHeight="1" x14ac:dyDescent="0.2"/>
    <row r="875" ht="12.75" customHeight="1" x14ac:dyDescent="0.2"/>
    <row r="876" ht="12.75" customHeight="1" x14ac:dyDescent="0.2"/>
    <row r="877" ht="12.75" customHeight="1" x14ac:dyDescent="0.2"/>
    <row r="878" ht="12.75" customHeight="1" x14ac:dyDescent="0.2"/>
    <row r="879" ht="12.75" customHeight="1" x14ac:dyDescent="0.2"/>
    <row r="880" ht="12.75" customHeight="1" x14ac:dyDescent="0.2"/>
    <row r="881" ht="12.75" customHeight="1" x14ac:dyDescent="0.2"/>
    <row r="882" ht="12.75" customHeight="1" x14ac:dyDescent="0.2"/>
    <row r="883" ht="12.75" customHeight="1" x14ac:dyDescent="0.2"/>
    <row r="884" ht="12.75" customHeight="1" x14ac:dyDescent="0.2"/>
    <row r="885" ht="12.75" customHeight="1" x14ac:dyDescent="0.2"/>
    <row r="886" ht="12.75" customHeight="1" x14ac:dyDescent="0.2"/>
    <row r="887" ht="12.75" customHeight="1" x14ac:dyDescent="0.2"/>
    <row r="888" ht="12.75" customHeight="1" x14ac:dyDescent="0.2"/>
    <row r="889" ht="12.75" customHeight="1" x14ac:dyDescent="0.2"/>
    <row r="890" ht="12.75" customHeight="1" x14ac:dyDescent="0.2"/>
    <row r="891" ht="12.75" customHeight="1" x14ac:dyDescent="0.2"/>
    <row r="892" ht="12.75" customHeight="1" x14ac:dyDescent="0.2"/>
    <row r="893" ht="12.75" customHeight="1" x14ac:dyDescent="0.2"/>
    <row r="894" ht="12.75" customHeight="1" x14ac:dyDescent="0.2"/>
    <row r="895" ht="12.75" customHeight="1" x14ac:dyDescent="0.2"/>
    <row r="896" ht="12.75" customHeight="1" x14ac:dyDescent="0.2"/>
    <row r="897" ht="12.75" customHeight="1" x14ac:dyDescent="0.2"/>
    <row r="898" ht="12.75" customHeight="1" x14ac:dyDescent="0.2"/>
    <row r="899" ht="12.75" customHeight="1" x14ac:dyDescent="0.2"/>
    <row r="900" ht="12.75" customHeight="1" x14ac:dyDescent="0.2"/>
    <row r="901" ht="12.75" customHeight="1" x14ac:dyDescent="0.2"/>
    <row r="902" ht="12.75" customHeight="1" x14ac:dyDescent="0.2"/>
    <row r="903" ht="12.75" customHeight="1" x14ac:dyDescent="0.2"/>
    <row r="904" ht="12.75" customHeight="1" x14ac:dyDescent="0.2"/>
    <row r="905" ht="12.75" customHeight="1" x14ac:dyDescent="0.2"/>
    <row r="906" ht="12.75" customHeight="1" x14ac:dyDescent="0.2"/>
    <row r="907" ht="12.75" customHeight="1" x14ac:dyDescent="0.2"/>
    <row r="908" ht="12.75" customHeight="1" x14ac:dyDescent="0.2"/>
    <row r="909" ht="12.75" customHeight="1" x14ac:dyDescent="0.2"/>
    <row r="910" ht="12.75" customHeight="1" x14ac:dyDescent="0.2"/>
    <row r="911" ht="12.75" customHeight="1" x14ac:dyDescent="0.2"/>
    <row r="912" ht="12.75" customHeight="1" x14ac:dyDescent="0.2"/>
    <row r="913" ht="12.75" customHeight="1" x14ac:dyDescent="0.2"/>
    <row r="914" ht="12.75" customHeight="1" x14ac:dyDescent="0.2"/>
    <row r="915" ht="12.75" customHeight="1" x14ac:dyDescent="0.2"/>
    <row r="916" ht="12.75" customHeight="1" x14ac:dyDescent="0.2"/>
    <row r="917" ht="12.75" customHeight="1" x14ac:dyDescent="0.2"/>
    <row r="918" ht="12.75" customHeight="1" x14ac:dyDescent="0.2"/>
    <row r="919" ht="12.75" customHeight="1" x14ac:dyDescent="0.2"/>
    <row r="920" ht="12.75" customHeight="1" x14ac:dyDescent="0.2"/>
    <row r="921" ht="12.75" customHeight="1" x14ac:dyDescent="0.2"/>
    <row r="922" ht="12.75" customHeight="1" x14ac:dyDescent="0.2"/>
    <row r="923" ht="12.75" customHeight="1" x14ac:dyDescent="0.2"/>
    <row r="924" ht="12.75" customHeight="1" x14ac:dyDescent="0.2"/>
    <row r="925" ht="12.75" customHeight="1" x14ac:dyDescent="0.2"/>
    <row r="926" ht="12.75" customHeight="1" x14ac:dyDescent="0.2"/>
    <row r="927" ht="12.75" customHeight="1" x14ac:dyDescent="0.2"/>
    <row r="928" ht="12.75" customHeight="1" x14ac:dyDescent="0.2"/>
    <row r="929" ht="12.75" customHeight="1" x14ac:dyDescent="0.2"/>
    <row r="930" ht="12.75" customHeight="1" x14ac:dyDescent="0.2"/>
    <row r="931" ht="12.75" customHeight="1" x14ac:dyDescent="0.2"/>
    <row r="932" ht="12.75" customHeight="1" x14ac:dyDescent="0.2"/>
    <row r="933" ht="12.75" customHeight="1" x14ac:dyDescent="0.2"/>
    <row r="934" ht="12.75" customHeight="1" x14ac:dyDescent="0.2"/>
    <row r="935" ht="12.75" customHeight="1" x14ac:dyDescent="0.2"/>
    <row r="936" ht="12.75" customHeight="1" x14ac:dyDescent="0.2"/>
    <row r="937" ht="12.75" customHeight="1" x14ac:dyDescent="0.2"/>
    <row r="938" ht="12.75" customHeight="1" x14ac:dyDescent="0.2"/>
    <row r="939" ht="12.75" customHeight="1" x14ac:dyDescent="0.2"/>
    <row r="940" ht="12.75" customHeight="1" x14ac:dyDescent="0.2"/>
    <row r="941" ht="12.75" customHeight="1" x14ac:dyDescent="0.2"/>
    <row r="942" ht="12.75" customHeight="1" x14ac:dyDescent="0.2"/>
    <row r="943" ht="12.75" customHeight="1" x14ac:dyDescent="0.2"/>
    <row r="944" ht="12.75" customHeight="1" x14ac:dyDescent="0.2"/>
    <row r="945" ht="12.75" customHeight="1" x14ac:dyDescent="0.2"/>
    <row r="946" ht="12.75" customHeight="1" x14ac:dyDescent="0.2"/>
    <row r="947" ht="12.75" customHeight="1" x14ac:dyDescent="0.2"/>
    <row r="948" ht="12.75" customHeight="1" x14ac:dyDescent="0.2"/>
    <row r="949" ht="12.75" customHeight="1" x14ac:dyDescent="0.2"/>
    <row r="950" ht="12.75" customHeight="1" x14ac:dyDescent="0.2"/>
    <row r="951" ht="12.75" customHeight="1" x14ac:dyDescent="0.2"/>
    <row r="952" ht="12.75" customHeight="1" x14ac:dyDescent="0.2"/>
    <row r="953" ht="12.75" customHeight="1" x14ac:dyDescent="0.2"/>
    <row r="954" ht="12.75" customHeight="1" x14ac:dyDescent="0.2"/>
    <row r="955" ht="12.75" customHeight="1" x14ac:dyDescent="0.2"/>
    <row r="956" ht="12.75" customHeight="1" x14ac:dyDescent="0.2"/>
    <row r="957" ht="12.75" customHeight="1" x14ac:dyDescent="0.2"/>
    <row r="958" ht="12.75" customHeight="1" x14ac:dyDescent="0.2"/>
    <row r="959" ht="12.75" customHeight="1" x14ac:dyDescent="0.2"/>
    <row r="960" ht="12.75" customHeight="1" x14ac:dyDescent="0.2"/>
    <row r="961" ht="12.75" customHeight="1" x14ac:dyDescent="0.2"/>
    <row r="962" ht="12.75" customHeight="1" x14ac:dyDescent="0.2"/>
    <row r="963" ht="12.75" customHeight="1" x14ac:dyDescent="0.2"/>
    <row r="964" ht="12.75" customHeight="1" x14ac:dyDescent="0.2"/>
    <row r="965" ht="12.75" customHeight="1" x14ac:dyDescent="0.2"/>
    <row r="966" ht="12.75" customHeight="1" x14ac:dyDescent="0.2"/>
    <row r="967" ht="12.75" customHeight="1" x14ac:dyDescent="0.2"/>
    <row r="968" ht="12.75" customHeight="1" x14ac:dyDescent="0.2"/>
    <row r="969" ht="12.75" customHeight="1" x14ac:dyDescent="0.2"/>
    <row r="970" ht="12.75" customHeight="1" x14ac:dyDescent="0.2"/>
    <row r="971" ht="12.75" customHeight="1" x14ac:dyDescent="0.2"/>
    <row r="972" ht="12.75" customHeight="1" x14ac:dyDescent="0.2"/>
    <row r="973" ht="12.75" customHeight="1" x14ac:dyDescent="0.2"/>
    <row r="974" ht="12.75" customHeight="1" x14ac:dyDescent="0.2"/>
    <row r="975" ht="12.75" customHeight="1" x14ac:dyDescent="0.2"/>
    <row r="976" ht="12.75" customHeight="1" x14ac:dyDescent="0.2"/>
    <row r="977" ht="12.75" customHeight="1" x14ac:dyDescent="0.2"/>
    <row r="978" ht="12.75" customHeight="1" x14ac:dyDescent="0.2"/>
    <row r="979" ht="12.75" customHeight="1" x14ac:dyDescent="0.2"/>
    <row r="980" ht="12.75" customHeight="1" x14ac:dyDescent="0.2"/>
    <row r="981" ht="12.75" customHeight="1" x14ac:dyDescent="0.2"/>
    <row r="982" ht="12.75" customHeight="1" x14ac:dyDescent="0.2"/>
    <row r="983" ht="12.75" customHeight="1" x14ac:dyDescent="0.2"/>
    <row r="984" ht="12.75" customHeight="1" x14ac:dyDescent="0.2"/>
    <row r="985" ht="12.75" customHeight="1" x14ac:dyDescent="0.2"/>
    <row r="986" ht="12.75" customHeight="1" x14ac:dyDescent="0.2"/>
    <row r="987" ht="12.75" customHeight="1" x14ac:dyDescent="0.2"/>
    <row r="988" ht="12.75" customHeight="1" x14ac:dyDescent="0.2"/>
    <row r="989" ht="12.75" customHeight="1" x14ac:dyDescent="0.2"/>
    <row r="990" ht="12.75" customHeight="1" x14ac:dyDescent="0.2"/>
    <row r="991" ht="12.75" customHeight="1" x14ac:dyDescent="0.2"/>
    <row r="992" ht="12.75" customHeight="1" x14ac:dyDescent="0.2"/>
    <row r="993" ht="12.75" customHeight="1" x14ac:dyDescent="0.2"/>
    <row r="994" ht="12.75" customHeight="1" x14ac:dyDescent="0.2"/>
    <row r="995" ht="12.75" customHeight="1" x14ac:dyDescent="0.2"/>
    <row r="996" ht="12.75" customHeight="1" x14ac:dyDescent="0.2"/>
    <row r="997" ht="12.75" customHeight="1" x14ac:dyDescent="0.2"/>
    <row r="998" ht="12.75" customHeight="1" x14ac:dyDescent="0.2"/>
    <row r="999" ht="12.75" customHeight="1" x14ac:dyDescent="0.2"/>
    <row r="1000" ht="12.75" customHeight="1" x14ac:dyDescent="0.2"/>
  </sheetData>
  <mergeCells count="8">
    <mergeCell ref="A1:A4"/>
    <mergeCell ref="B1:C1"/>
    <mergeCell ref="D1:H1"/>
    <mergeCell ref="B2:C2"/>
    <mergeCell ref="D2:F2"/>
    <mergeCell ref="B3:C3"/>
    <mergeCell ref="D3:E3"/>
    <mergeCell ref="G3:H3"/>
  </mergeCells>
  <hyperlinks>
    <hyperlink ref="D2" r:id="rId1" xr:uid="{00000000-0004-0000-0200-000000000000}"/>
  </hyperlinks>
  <pageMargins left="0.511811024" right="0.511811024" top="0.78740157499999996" bottom="0.78740157499999996" header="0" footer="0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7EBC0A"/>
    <outlinePr summaryBelow="0" summaryRight="0"/>
  </sheetPr>
  <dimension ref="A1:Z1000"/>
  <sheetViews>
    <sheetView workbookViewId="0"/>
  </sheetViews>
  <sheetFormatPr defaultColWidth="12.5703125" defaultRowHeight="15" customHeight="1" x14ac:dyDescent="0.2"/>
  <cols>
    <col min="1" max="1" width="25.42578125" customWidth="1"/>
    <col min="2" max="2" width="12.5703125" customWidth="1"/>
    <col min="3" max="3" width="13.7109375" customWidth="1"/>
    <col min="4" max="4" width="13.140625" customWidth="1"/>
    <col min="5" max="5" width="12.85546875" customWidth="1"/>
    <col min="6" max="6" width="12.42578125" customWidth="1"/>
    <col min="7" max="7" width="12" customWidth="1"/>
    <col min="8" max="8" width="11.7109375" customWidth="1"/>
    <col min="9" max="9" width="12.42578125" customWidth="1"/>
    <col min="10" max="11" width="14.42578125" customWidth="1"/>
    <col min="12" max="12" width="15.28515625" customWidth="1"/>
    <col min="13" max="14" width="14.42578125" customWidth="1"/>
  </cols>
  <sheetData>
    <row r="1" spans="1:26" ht="21.75" customHeight="1" x14ac:dyDescent="0.25">
      <c r="A1" s="147" t="s">
        <v>44</v>
      </c>
      <c r="B1" s="118"/>
      <c r="C1" s="118"/>
      <c r="D1" s="118"/>
      <c r="E1" s="118"/>
      <c r="F1" s="118"/>
      <c r="G1" s="118"/>
      <c r="H1" s="118"/>
      <c r="I1" s="118"/>
      <c r="J1" s="118"/>
      <c r="K1" s="118"/>
      <c r="L1" s="118"/>
      <c r="M1" s="118"/>
      <c r="N1" s="79"/>
    </row>
    <row r="2" spans="1:26" ht="21" customHeight="1" x14ac:dyDescent="0.25">
      <c r="A2" s="78" t="s">
        <v>45</v>
      </c>
      <c r="B2" s="80">
        <v>4</v>
      </c>
      <c r="C2" s="81"/>
      <c r="D2" s="81"/>
      <c r="E2" s="81"/>
      <c r="F2" s="81"/>
      <c r="G2" s="81"/>
      <c r="H2" s="81"/>
      <c r="I2" s="81"/>
      <c r="J2" s="81"/>
      <c r="K2" s="81"/>
      <c r="L2" s="81"/>
      <c r="M2" s="81"/>
      <c r="N2" s="79"/>
    </row>
    <row r="3" spans="1:26" ht="15" customHeight="1" x14ac:dyDescent="0.25">
      <c r="A3" s="81"/>
      <c r="B3" s="82"/>
      <c r="C3" s="82"/>
      <c r="D3" s="82"/>
      <c r="E3" s="82"/>
      <c r="F3" s="82"/>
      <c r="G3" s="82"/>
      <c r="H3" s="82"/>
      <c r="I3" s="82"/>
      <c r="J3" s="82"/>
      <c r="K3" s="82"/>
      <c r="L3" s="82"/>
      <c r="M3" s="82"/>
      <c r="N3" s="82"/>
      <c r="O3" s="82"/>
      <c r="P3" s="82"/>
      <c r="Q3" s="82"/>
      <c r="R3" s="82"/>
      <c r="S3" s="82"/>
      <c r="T3" s="82"/>
      <c r="U3" s="82"/>
      <c r="V3" s="82"/>
      <c r="W3" s="82"/>
      <c r="X3" s="82"/>
      <c r="Y3" s="82"/>
      <c r="Z3" s="82"/>
    </row>
    <row r="4" spans="1:26" ht="22.5" customHeight="1" x14ac:dyDescent="0.25">
      <c r="A4" s="78" t="s">
        <v>46</v>
      </c>
      <c r="B4" s="83" t="str">
        <f>CONCATENATE("Janeiro/",'Fluxo de caixa 2024'!$H$2)</f>
        <v>Janeiro/2024</v>
      </c>
      <c r="C4" s="83" t="str">
        <f>CONCATENATE("Fevereiro/",'Fluxo de caixa 2024'!$H$2)</f>
        <v>Fevereiro/2024</v>
      </c>
      <c r="D4" s="83" t="str">
        <f>CONCATENATE("Março/",'Fluxo de caixa 2024'!$H$2)</f>
        <v>Março/2024</v>
      </c>
      <c r="E4" s="83" t="str">
        <f>CONCATENATE("Abril/",'Fluxo de caixa 2024'!$H$2)</f>
        <v>Abril/2024</v>
      </c>
      <c r="F4" s="83" t="str">
        <f>CONCATENATE("Maio/",'Fluxo de caixa 2024'!$H$2)</f>
        <v>Maio/2024</v>
      </c>
      <c r="G4" s="83" t="str">
        <f>CONCATENATE("Junho/",'Fluxo de caixa 2024'!$H$2)</f>
        <v>Junho/2024</v>
      </c>
      <c r="H4" s="83" t="str">
        <f>CONCATENATE("Julho/",'Fluxo de caixa 2024'!$H$2)</f>
        <v>Julho/2024</v>
      </c>
      <c r="I4" s="83" t="str">
        <f>CONCATENATE("Agosto/",'Fluxo de caixa 2024'!$H$2)</f>
        <v>Agosto/2024</v>
      </c>
      <c r="J4" s="83" t="str">
        <f>CONCATENATE("Setembro/",'Fluxo de caixa 2024'!$H$2)</f>
        <v>Setembro/2024</v>
      </c>
      <c r="K4" s="83" t="str">
        <f>CONCATENATE("Outubro/",'Fluxo de caixa 2024'!$H$2)</f>
        <v>Outubro/2024</v>
      </c>
      <c r="L4" s="83" t="str">
        <f>CONCATENATE("Novembro/",'Fluxo de caixa 2024'!$H$2)</f>
        <v>Novembro/2024</v>
      </c>
      <c r="M4" s="83" t="str">
        <f>CONCATENATE("Dezembro/",'Fluxo de caixa 2024'!$H$2)</f>
        <v>Dezembro/2024</v>
      </c>
      <c r="N4" s="84">
        <v>45658</v>
      </c>
      <c r="O4" s="84">
        <v>45689</v>
      </c>
      <c r="P4" s="84">
        <v>45717</v>
      </c>
      <c r="Q4" s="84">
        <v>45748</v>
      </c>
      <c r="R4" s="84">
        <v>45778</v>
      </c>
      <c r="S4" s="84">
        <v>45809</v>
      </c>
      <c r="T4" s="84">
        <v>45839</v>
      </c>
      <c r="U4" s="84">
        <v>45870</v>
      </c>
      <c r="V4" s="84">
        <v>45901</v>
      </c>
      <c r="W4" s="84">
        <v>45931</v>
      </c>
      <c r="X4" s="84">
        <v>45962</v>
      </c>
      <c r="Y4" s="84">
        <v>45992</v>
      </c>
      <c r="Z4" s="84">
        <v>46023</v>
      </c>
    </row>
    <row r="5" spans="1:26" ht="19.5" customHeight="1" x14ac:dyDescent="0.25">
      <c r="A5" s="81">
        <v>1</v>
      </c>
      <c r="B5" s="85">
        <v>0</v>
      </c>
      <c r="C5" s="85">
        <v>150</v>
      </c>
      <c r="D5" s="85">
        <v>150</v>
      </c>
      <c r="E5" s="85">
        <v>150</v>
      </c>
      <c r="F5" s="85">
        <v>150</v>
      </c>
      <c r="G5" s="85">
        <v>150</v>
      </c>
      <c r="H5" s="85">
        <v>150</v>
      </c>
      <c r="I5" s="85">
        <v>150</v>
      </c>
      <c r="J5" s="85">
        <v>150</v>
      </c>
      <c r="K5" s="85">
        <v>150</v>
      </c>
      <c r="L5" s="85">
        <v>150</v>
      </c>
      <c r="M5" s="85">
        <v>150</v>
      </c>
      <c r="N5" s="86">
        <v>150</v>
      </c>
      <c r="O5" s="87">
        <v>150</v>
      </c>
      <c r="P5" s="88">
        <v>150</v>
      </c>
      <c r="Q5" s="88">
        <v>150</v>
      </c>
      <c r="R5" s="88">
        <v>150</v>
      </c>
      <c r="S5" s="88">
        <v>150</v>
      </c>
      <c r="T5" s="88">
        <v>150</v>
      </c>
      <c r="U5" s="88">
        <v>150</v>
      </c>
      <c r="V5" s="89">
        <v>150</v>
      </c>
      <c r="W5" s="90">
        <v>150</v>
      </c>
      <c r="X5" s="90"/>
      <c r="Y5" s="90"/>
      <c r="Z5" s="90"/>
    </row>
    <row r="6" spans="1:26" ht="19.5" customHeight="1" x14ac:dyDescent="0.25">
      <c r="A6" s="81">
        <v>2</v>
      </c>
      <c r="B6" s="85">
        <v>0</v>
      </c>
      <c r="C6" s="85">
        <v>150</v>
      </c>
      <c r="D6" s="85">
        <v>150</v>
      </c>
      <c r="E6" s="85">
        <v>150</v>
      </c>
      <c r="F6" s="85">
        <v>150</v>
      </c>
      <c r="G6" s="85">
        <v>150</v>
      </c>
      <c r="H6" s="85">
        <v>150</v>
      </c>
      <c r="I6" s="85">
        <v>150</v>
      </c>
      <c r="J6" s="85">
        <v>150</v>
      </c>
      <c r="K6" s="85">
        <v>150</v>
      </c>
      <c r="L6" s="85">
        <v>150</v>
      </c>
      <c r="M6" s="85">
        <v>150</v>
      </c>
      <c r="N6" s="86">
        <v>150</v>
      </c>
      <c r="O6" s="87">
        <v>150</v>
      </c>
      <c r="P6" s="88">
        <v>150</v>
      </c>
      <c r="Q6" s="88">
        <v>150</v>
      </c>
      <c r="R6" s="88">
        <v>150</v>
      </c>
      <c r="S6" s="88">
        <v>150</v>
      </c>
      <c r="T6" s="88">
        <v>150</v>
      </c>
      <c r="U6" s="88">
        <v>150</v>
      </c>
      <c r="V6" s="89">
        <v>150</v>
      </c>
      <c r="W6" s="90">
        <v>150</v>
      </c>
      <c r="X6" s="90"/>
      <c r="Y6" s="90"/>
      <c r="Z6" s="90"/>
    </row>
    <row r="7" spans="1:26" ht="19.5" customHeight="1" x14ac:dyDescent="0.25">
      <c r="A7" s="81">
        <v>3</v>
      </c>
      <c r="B7" s="85">
        <v>0</v>
      </c>
      <c r="C7" s="85">
        <v>150</v>
      </c>
      <c r="D7" s="85">
        <v>150</v>
      </c>
      <c r="E7" s="85">
        <v>150</v>
      </c>
      <c r="F7" s="85">
        <v>150</v>
      </c>
      <c r="G7" s="85">
        <v>150</v>
      </c>
      <c r="H7" s="85">
        <v>150</v>
      </c>
      <c r="I7" s="85">
        <v>150</v>
      </c>
      <c r="J7" s="85">
        <v>150</v>
      </c>
      <c r="K7" s="85">
        <v>150</v>
      </c>
      <c r="L7" s="85">
        <v>150</v>
      </c>
      <c r="M7" s="85">
        <v>150</v>
      </c>
      <c r="N7" s="86">
        <v>150</v>
      </c>
      <c r="O7" s="91">
        <v>150</v>
      </c>
      <c r="P7" s="88">
        <v>150</v>
      </c>
      <c r="Q7" s="88">
        <v>150</v>
      </c>
      <c r="R7" s="88">
        <v>150</v>
      </c>
      <c r="S7" s="88">
        <v>150</v>
      </c>
      <c r="T7" s="88">
        <v>150</v>
      </c>
      <c r="U7" s="88">
        <v>150</v>
      </c>
      <c r="V7" s="89">
        <v>150</v>
      </c>
      <c r="W7" s="90"/>
      <c r="X7" s="90"/>
      <c r="Y7" s="90"/>
      <c r="Z7" s="90"/>
    </row>
    <row r="8" spans="1:26" ht="19.5" customHeight="1" x14ac:dyDescent="0.25">
      <c r="A8" s="81">
        <v>4</v>
      </c>
      <c r="B8" s="85">
        <v>0</v>
      </c>
      <c r="C8" s="85">
        <v>150</v>
      </c>
      <c r="D8" s="85">
        <v>150</v>
      </c>
      <c r="E8" s="85">
        <v>150</v>
      </c>
      <c r="F8" s="85">
        <v>150</v>
      </c>
      <c r="G8" s="85">
        <v>150</v>
      </c>
      <c r="H8" s="85">
        <v>150</v>
      </c>
      <c r="I8" s="85">
        <v>150</v>
      </c>
      <c r="J8" s="85">
        <v>150</v>
      </c>
      <c r="K8" s="85">
        <v>150</v>
      </c>
      <c r="L8" s="85">
        <v>150</v>
      </c>
      <c r="M8" s="85">
        <v>150</v>
      </c>
      <c r="N8" s="86">
        <v>150</v>
      </c>
      <c r="O8" s="87">
        <v>150</v>
      </c>
      <c r="P8" s="88">
        <v>150</v>
      </c>
      <c r="Q8" s="88">
        <v>150</v>
      </c>
      <c r="R8" s="88">
        <v>150</v>
      </c>
      <c r="S8" s="88">
        <v>150</v>
      </c>
      <c r="T8" s="88">
        <v>150</v>
      </c>
      <c r="U8" s="88">
        <v>150</v>
      </c>
      <c r="V8" s="89">
        <v>150</v>
      </c>
      <c r="W8" s="90">
        <v>150</v>
      </c>
      <c r="X8" s="90"/>
      <c r="Y8" s="90"/>
      <c r="Z8" s="90"/>
    </row>
    <row r="9" spans="1:26" ht="15" customHeight="1" x14ac:dyDescent="0.25">
      <c r="A9" s="148"/>
      <c r="B9" s="149"/>
      <c r="C9" s="149"/>
      <c r="D9" s="149"/>
      <c r="E9" s="149"/>
      <c r="F9" s="149"/>
      <c r="G9" s="149"/>
      <c r="H9" s="149"/>
      <c r="I9" s="149"/>
      <c r="J9" s="149"/>
      <c r="K9" s="149"/>
      <c r="L9" s="149"/>
      <c r="M9" s="150"/>
      <c r="N9" s="148"/>
      <c r="O9" s="149"/>
      <c r="P9" s="149"/>
      <c r="Q9" s="149"/>
      <c r="R9" s="149"/>
      <c r="S9" s="149"/>
      <c r="T9" s="149"/>
      <c r="U9" s="149"/>
      <c r="V9" s="149"/>
      <c r="W9" s="149"/>
      <c r="X9" s="149"/>
      <c r="Y9" s="149"/>
      <c r="Z9" s="150"/>
    </row>
    <row r="10" spans="1:26" ht="15" customHeight="1" x14ac:dyDescent="0.25">
      <c r="A10" s="78" t="s">
        <v>47</v>
      </c>
      <c r="B10" s="92">
        <f t="shared" ref="B10:Z10" si="0">SUM(B5:B8)</f>
        <v>0</v>
      </c>
      <c r="C10" s="92">
        <f t="shared" si="0"/>
        <v>600</v>
      </c>
      <c r="D10" s="92">
        <f t="shared" si="0"/>
        <v>600</v>
      </c>
      <c r="E10" s="92">
        <f t="shared" si="0"/>
        <v>600</v>
      </c>
      <c r="F10" s="92">
        <f t="shared" si="0"/>
        <v>600</v>
      </c>
      <c r="G10" s="92">
        <f t="shared" si="0"/>
        <v>600</v>
      </c>
      <c r="H10" s="92">
        <f t="shared" si="0"/>
        <v>600</v>
      </c>
      <c r="I10" s="92">
        <f t="shared" si="0"/>
        <v>600</v>
      </c>
      <c r="J10" s="92">
        <f t="shared" si="0"/>
        <v>600</v>
      </c>
      <c r="K10" s="92">
        <f t="shared" si="0"/>
        <v>600</v>
      </c>
      <c r="L10" s="92">
        <f t="shared" si="0"/>
        <v>600</v>
      </c>
      <c r="M10" s="92">
        <f t="shared" si="0"/>
        <v>600</v>
      </c>
      <c r="N10" s="92">
        <f t="shared" si="0"/>
        <v>600</v>
      </c>
      <c r="O10" s="92">
        <f t="shared" si="0"/>
        <v>600</v>
      </c>
      <c r="P10" s="92">
        <f t="shared" si="0"/>
        <v>600</v>
      </c>
      <c r="Q10" s="92">
        <f t="shared" si="0"/>
        <v>600</v>
      </c>
      <c r="R10" s="92">
        <f t="shared" si="0"/>
        <v>600</v>
      </c>
      <c r="S10" s="92">
        <f t="shared" si="0"/>
        <v>600</v>
      </c>
      <c r="T10" s="92">
        <f t="shared" si="0"/>
        <v>600</v>
      </c>
      <c r="U10" s="92">
        <f t="shared" si="0"/>
        <v>600</v>
      </c>
      <c r="V10" s="92">
        <f t="shared" si="0"/>
        <v>600</v>
      </c>
      <c r="W10" s="92">
        <f t="shared" si="0"/>
        <v>450</v>
      </c>
      <c r="X10" s="92">
        <f t="shared" si="0"/>
        <v>0</v>
      </c>
      <c r="Y10" s="92">
        <f t="shared" si="0"/>
        <v>0</v>
      </c>
      <c r="Z10" s="92">
        <f t="shared" si="0"/>
        <v>0</v>
      </c>
    </row>
    <row r="11" spans="1:26" ht="15" customHeight="1" x14ac:dyDescent="0.25">
      <c r="A11" s="79"/>
      <c r="B11" s="79"/>
      <c r="C11" s="79"/>
      <c r="D11" s="79"/>
      <c r="E11" s="79"/>
      <c r="F11" s="79"/>
      <c r="G11" s="79"/>
      <c r="H11" s="79"/>
      <c r="I11" s="79"/>
      <c r="J11" s="79"/>
      <c r="K11" s="79"/>
      <c r="L11" s="79"/>
      <c r="M11" s="79"/>
      <c r="N11" s="79"/>
    </row>
    <row r="12" spans="1:26" ht="15" customHeight="1" x14ac:dyDescent="0.25">
      <c r="A12" s="79"/>
      <c r="B12" s="79"/>
      <c r="C12" s="79"/>
      <c r="D12" s="79"/>
      <c r="E12" s="79"/>
      <c r="F12" s="79"/>
      <c r="G12" s="79"/>
      <c r="H12" s="79"/>
      <c r="I12" s="79"/>
      <c r="J12" s="79"/>
      <c r="K12" s="79"/>
      <c r="L12" s="79"/>
      <c r="M12" s="79"/>
      <c r="N12" s="79"/>
      <c r="O12" s="93"/>
      <c r="P12" s="93"/>
      <c r="Q12" s="93"/>
      <c r="R12" s="93"/>
      <c r="S12" s="93"/>
      <c r="T12" s="93"/>
      <c r="U12" s="93"/>
      <c r="V12" s="93"/>
      <c r="W12" s="93"/>
      <c r="X12" s="93"/>
      <c r="Y12" s="93"/>
      <c r="Z12" s="93"/>
    </row>
    <row r="13" spans="1:26" ht="15" customHeight="1" x14ac:dyDescent="0.25">
      <c r="A13" s="79"/>
      <c r="B13" s="79"/>
      <c r="C13" s="79"/>
      <c r="D13" s="79"/>
      <c r="E13" s="79"/>
      <c r="F13" s="79"/>
      <c r="G13" s="79"/>
      <c r="H13" s="79"/>
      <c r="I13" s="79"/>
      <c r="J13" s="79"/>
      <c r="K13" s="79"/>
      <c r="L13" s="79"/>
      <c r="M13" s="79"/>
      <c r="N13" s="79"/>
    </row>
    <row r="14" spans="1:26" ht="15" customHeight="1" x14ac:dyDescent="0.25">
      <c r="A14" s="79"/>
      <c r="B14" s="79"/>
      <c r="C14" s="79"/>
      <c r="D14" s="79"/>
      <c r="E14" s="79"/>
      <c r="F14" s="79"/>
      <c r="G14" s="79"/>
      <c r="H14" s="79"/>
      <c r="I14" s="79"/>
      <c r="J14" s="79"/>
      <c r="K14" s="79"/>
      <c r="L14" s="79"/>
      <c r="M14" s="79"/>
      <c r="N14" s="79"/>
    </row>
    <row r="15" spans="1:26" ht="15" customHeight="1" x14ac:dyDescent="0.25">
      <c r="A15" s="79"/>
      <c r="B15" s="79"/>
      <c r="C15" s="79"/>
      <c r="D15" s="79"/>
      <c r="E15" s="79"/>
      <c r="F15" s="79"/>
      <c r="G15" s="79"/>
      <c r="H15" s="79"/>
      <c r="I15" s="79"/>
      <c r="J15" s="79"/>
      <c r="K15" s="79"/>
      <c r="L15" s="79"/>
      <c r="M15" s="79"/>
      <c r="N15" s="79"/>
    </row>
    <row r="16" spans="1:26" ht="15" customHeight="1" x14ac:dyDescent="0.25">
      <c r="A16" s="79"/>
      <c r="B16" s="79"/>
      <c r="C16" s="79"/>
      <c r="D16" s="79"/>
      <c r="E16" s="79"/>
      <c r="F16" s="79"/>
      <c r="G16" s="79"/>
      <c r="H16" s="79"/>
      <c r="I16" s="79"/>
      <c r="J16" s="79"/>
      <c r="K16" s="79"/>
      <c r="L16" s="79"/>
      <c r="M16" s="79"/>
      <c r="N16" s="79"/>
    </row>
    <row r="17" spans="1:14" ht="15" customHeight="1" x14ac:dyDescent="0.25">
      <c r="A17" s="79"/>
      <c r="B17" s="79"/>
      <c r="C17" s="79"/>
      <c r="D17" s="79"/>
      <c r="E17" s="79"/>
      <c r="F17" s="79"/>
      <c r="G17" s="79"/>
      <c r="H17" s="79"/>
      <c r="I17" s="79"/>
      <c r="J17" s="79"/>
      <c r="K17" s="79"/>
      <c r="L17" s="79"/>
      <c r="M17" s="79"/>
      <c r="N17" s="79"/>
    </row>
    <row r="18" spans="1:14" ht="15" customHeight="1" x14ac:dyDescent="0.25">
      <c r="A18" s="79"/>
      <c r="B18" s="79"/>
      <c r="C18" s="79"/>
      <c r="D18" s="79"/>
      <c r="E18" s="79"/>
      <c r="F18" s="79"/>
      <c r="G18" s="79"/>
      <c r="H18" s="79"/>
      <c r="I18" s="79"/>
      <c r="J18" s="79"/>
      <c r="K18" s="79"/>
      <c r="L18" s="79"/>
      <c r="M18" s="79"/>
      <c r="N18" s="79"/>
    </row>
    <row r="19" spans="1:14" ht="15" customHeight="1" x14ac:dyDescent="0.25">
      <c r="A19" s="79"/>
      <c r="B19" s="79"/>
      <c r="C19" s="79"/>
      <c r="D19" s="79"/>
      <c r="E19" s="79"/>
      <c r="F19" s="79"/>
      <c r="G19" s="79"/>
      <c r="H19" s="79"/>
      <c r="I19" s="79"/>
      <c r="J19" s="79"/>
      <c r="K19" s="79"/>
      <c r="L19" s="79"/>
      <c r="M19" s="79"/>
      <c r="N19" s="79"/>
    </row>
    <row r="20" spans="1:14" ht="15" customHeight="1" x14ac:dyDescent="0.25">
      <c r="A20" s="79"/>
      <c r="B20" s="79"/>
      <c r="C20" s="79"/>
      <c r="D20" s="79"/>
      <c r="E20" s="79"/>
      <c r="F20" s="79"/>
      <c r="G20" s="79"/>
      <c r="H20" s="79"/>
      <c r="I20" s="79"/>
      <c r="J20" s="79"/>
      <c r="K20" s="79"/>
      <c r="L20" s="79"/>
      <c r="M20" s="79"/>
      <c r="N20" s="79"/>
    </row>
    <row r="21" spans="1:14" ht="15.75" customHeight="1" x14ac:dyDescent="0.25">
      <c r="A21" s="79"/>
      <c r="B21" s="79"/>
      <c r="C21" s="79"/>
      <c r="D21" s="79"/>
      <c r="E21" s="79"/>
      <c r="F21" s="79"/>
      <c r="G21" s="79"/>
      <c r="H21" s="79"/>
      <c r="I21" s="79"/>
      <c r="J21" s="79"/>
      <c r="K21" s="79"/>
      <c r="L21" s="79"/>
      <c r="M21" s="79"/>
      <c r="N21" s="79"/>
    </row>
    <row r="22" spans="1:14" ht="15.75" customHeight="1" x14ac:dyDescent="0.25">
      <c r="A22" s="79"/>
      <c r="B22" s="79"/>
      <c r="C22" s="79"/>
      <c r="D22" s="79"/>
      <c r="E22" s="79"/>
      <c r="F22" s="79"/>
      <c r="G22" s="79"/>
      <c r="H22" s="79"/>
      <c r="I22" s="79"/>
      <c r="J22" s="79"/>
      <c r="K22" s="79"/>
      <c r="L22" s="79"/>
      <c r="M22" s="79"/>
      <c r="N22" s="79"/>
    </row>
    <row r="23" spans="1:14" ht="15.75" customHeight="1" x14ac:dyDescent="0.25">
      <c r="A23" s="79"/>
      <c r="B23" s="79"/>
      <c r="C23" s="79"/>
      <c r="D23" s="79"/>
      <c r="E23" s="79"/>
      <c r="F23" s="79"/>
      <c r="G23" s="79"/>
      <c r="H23" s="79"/>
      <c r="I23" s="79"/>
      <c r="J23" s="79"/>
      <c r="K23" s="79"/>
      <c r="L23" s="79"/>
      <c r="M23" s="79"/>
      <c r="N23" s="79"/>
    </row>
    <row r="24" spans="1:14" ht="15.75" customHeight="1" x14ac:dyDescent="0.25">
      <c r="A24" s="79"/>
      <c r="B24" s="79"/>
      <c r="C24" s="79"/>
      <c r="D24" s="79"/>
      <c r="E24" s="79"/>
      <c r="F24" s="79"/>
      <c r="G24" s="79"/>
      <c r="H24" s="79"/>
      <c r="I24" s="79"/>
      <c r="J24" s="79"/>
      <c r="K24" s="79"/>
      <c r="L24" s="79"/>
      <c r="M24" s="79"/>
      <c r="N24" s="79"/>
    </row>
    <row r="25" spans="1:14" ht="15.75" customHeight="1" x14ac:dyDescent="0.25">
      <c r="A25" s="79"/>
      <c r="B25" s="79"/>
      <c r="C25" s="79"/>
      <c r="D25" s="79"/>
      <c r="E25" s="79"/>
      <c r="F25" s="79"/>
      <c r="G25" s="79"/>
      <c r="H25" s="79"/>
      <c r="I25" s="79"/>
      <c r="J25" s="79"/>
      <c r="K25" s="79"/>
      <c r="L25" s="79"/>
      <c r="M25" s="79"/>
      <c r="N25" s="79"/>
    </row>
    <row r="26" spans="1:14" ht="15.75" customHeight="1" x14ac:dyDescent="0.25">
      <c r="A26" s="79"/>
      <c r="B26" s="79"/>
      <c r="C26" s="79"/>
      <c r="D26" s="79"/>
      <c r="E26" s="79"/>
      <c r="F26" s="79"/>
      <c r="G26" s="79"/>
      <c r="H26" s="79"/>
      <c r="I26" s="79"/>
      <c r="J26" s="79"/>
      <c r="K26" s="79"/>
      <c r="L26" s="79"/>
      <c r="M26" s="79"/>
      <c r="N26" s="79"/>
    </row>
    <row r="27" spans="1:14" ht="15.75" customHeight="1" x14ac:dyDescent="0.25">
      <c r="A27" s="79"/>
      <c r="B27" s="79"/>
      <c r="C27" s="79"/>
      <c r="D27" s="79"/>
      <c r="E27" s="79"/>
      <c r="F27" s="79"/>
      <c r="G27" s="79"/>
      <c r="H27" s="79"/>
      <c r="I27" s="79"/>
      <c r="J27" s="79"/>
      <c r="K27" s="79"/>
      <c r="L27" s="79"/>
      <c r="M27" s="79"/>
      <c r="N27" s="79"/>
    </row>
    <row r="28" spans="1:14" ht="15.75" customHeight="1" x14ac:dyDescent="0.25">
      <c r="A28" s="79"/>
      <c r="B28" s="79"/>
      <c r="C28" s="79"/>
      <c r="D28" s="79"/>
      <c r="E28" s="79"/>
      <c r="F28" s="79"/>
      <c r="G28" s="79"/>
      <c r="H28" s="79"/>
      <c r="I28" s="79"/>
      <c r="J28" s="79"/>
      <c r="K28" s="79"/>
      <c r="L28" s="79"/>
      <c r="M28" s="79"/>
      <c r="N28" s="79"/>
    </row>
    <row r="29" spans="1:14" ht="15.75" customHeight="1" x14ac:dyDescent="0.25">
      <c r="A29" s="79"/>
      <c r="B29" s="79"/>
      <c r="C29" s="79"/>
      <c r="D29" s="79"/>
      <c r="E29" s="79"/>
      <c r="F29" s="79"/>
      <c r="G29" s="79"/>
      <c r="H29" s="79"/>
      <c r="I29" s="79"/>
      <c r="J29" s="79"/>
      <c r="K29" s="79"/>
      <c r="L29" s="79"/>
      <c r="M29" s="79"/>
      <c r="N29" s="79"/>
    </row>
    <row r="30" spans="1:14" ht="15.75" customHeight="1" x14ac:dyDescent="0.25">
      <c r="A30" s="79"/>
      <c r="B30" s="79"/>
      <c r="C30" s="79"/>
      <c r="D30" s="79"/>
      <c r="E30" s="79"/>
      <c r="F30" s="79"/>
      <c r="G30" s="79"/>
      <c r="H30" s="79"/>
      <c r="I30" s="79"/>
      <c r="J30" s="79"/>
      <c r="K30" s="79"/>
      <c r="L30" s="79"/>
      <c r="M30" s="79"/>
      <c r="N30" s="79"/>
    </row>
    <row r="31" spans="1:14" ht="15.75" customHeight="1" x14ac:dyDescent="0.25">
      <c r="A31" s="79"/>
      <c r="B31" s="79"/>
      <c r="C31" s="79"/>
      <c r="D31" s="79"/>
      <c r="E31" s="79"/>
      <c r="F31" s="79"/>
      <c r="G31" s="79"/>
      <c r="H31" s="79"/>
      <c r="I31" s="79"/>
      <c r="J31" s="79"/>
      <c r="K31" s="79"/>
      <c r="L31" s="79"/>
      <c r="M31" s="79"/>
      <c r="N31" s="79"/>
    </row>
    <row r="32" spans="1:14" ht="15.75" customHeight="1" x14ac:dyDescent="0.25">
      <c r="A32" s="79"/>
      <c r="B32" s="79"/>
      <c r="C32" s="79"/>
      <c r="D32" s="79"/>
      <c r="E32" s="79"/>
      <c r="F32" s="79"/>
      <c r="G32" s="79"/>
      <c r="H32" s="79"/>
      <c r="I32" s="79"/>
      <c r="J32" s="79"/>
      <c r="K32" s="79"/>
      <c r="L32" s="79"/>
      <c r="M32" s="79"/>
      <c r="N32" s="79"/>
    </row>
    <row r="33" spans="1:14" ht="15.75" customHeight="1" x14ac:dyDescent="0.25">
      <c r="A33" s="79"/>
      <c r="B33" s="79"/>
      <c r="C33" s="79"/>
      <c r="D33" s="79"/>
      <c r="E33" s="79"/>
      <c r="F33" s="79"/>
      <c r="G33" s="79"/>
      <c r="H33" s="79"/>
      <c r="I33" s="79"/>
      <c r="J33" s="79"/>
      <c r="K33" s="79"/>
      <c r="L33" s="79"/>
      <c r="M33" s="79"/>
      <c r="N33" s="79"/>
    </row>
    <row r="34" spans="1:14" ht="15.75" customHeight="1" x14ac:dyDescent="0.25">
      <c r="A34" s="79"/>
      <c r="B34" s="79"/>
      <c r="C34" s="79"/>
      <c r="D34" s="79"/>
      <c r="E34" s="79"/>
      <c r="F34" s="79"/>
      <c r="G34" s="79"/>
      <c r="H34" s="79"/>
      <c r="I34" s="79"/>
      <c r="J34" s="79"/>
      <c r="K34" s="79"/>
      <c r="L34" s="79"/>
      <c r="M34" s="79"/>
      <c r="N34" s="79"/>
    </row>
    <row r="35" spans="1:14" ht="15.75" customHeight="1" x14ac:dyDescent="0.25">
      <c r="A35" s="79"/>
      <c r="B35" s="79"/>
      <c r="C35" s="79"/>
      <c r="D35" s="79"/>
      <c r="E35" s="79"/>
      <c r="F35" s="79"/>
      <c r="G35" s="79"/>
      <c r="H35" s="79"/>
      <c r="I35" s="79"/>
      <c r="J35" s="79"/>
      <c r="K35" s="79"/>
      <c r="L35" s="79"/>
      <c r="M35" s="79"/>
      <c r="N35" s="79"/>
    </row>
    <row r="36" spans="1:14" ht="15.75" customHeight="1" x14ac:dyDescent="0.25">
      <c r="A36" s="79"/>
      <c r="B36" s="79"/>
      <c r="C36" s="79"/>
      <c r="D36" s="79"/>
      <c r="E36" s="79"/>
      <c r="F36" s="79"/>
      <c r="G36" s="79"/>
      <c r="H36" s="79"/>
      <c r="I36" s="79"/>
      <c r="J36" s="79"/>
      <c r="K36" s="79"/>
      <c r="L36" s="79"/>
      <c r="M36" s="79"/>
      <c r="N36" s="79"/>
    </row>
    <row r="37" spans="1:14" ht="15.75" customHeight="1" x14ac:dyDescent="0.25">
      <c r="A37" s="79"/>
      <c r="B37" s="79"/>
      <c r="C37" s="79"/>
      <c r="D37" s="79"/>
      <c r="E37" s="79"/>
      <c r="F37" s="79"/>
      <c r="G37" s="79"/>
      <c r="H37" s="79"/>
      <c r="I37" s="79"/>
      <c r="J37" s="79"/>
      <c r="K37" s="79"/>
      <c r="L37" s="79"/>
      <c r="M37" s="79"/>
      <c r="N37" s="79"/>
    </row>
    <row r="38" spans="1:14" ht="15.75" customHeight="1" x14ac:dyDescent="0.25">
      <c r="A38" s="79"/>
      <c r="B38" s="79"/>
      <c r="C38" s="79"/>
      <c r="D38" s="79"/>
      <c r="E38" s="79"/>
      <c r="F38" s="79"/>
      <c r="G38" s="79"/>
      <c r="H38" s="79"/>
      <c r="I38" s="79"/>
      <c r="J38" s="79"/>
      <c r="K38" s="79"/>
      <c r="L38" s="79"/>
      <c r="M38" s="79"/>
      <c r="N38" s="79"/>
    </row>
    <row r="39" spans="1:14" ht="15.75" customHeight="1" x14ac:dyDescent="0.25">
      <c r="A39" s="79"/>
      <c r="B39" s="79"/>
      <c r="C39" s="79"/>
      <c r="D39" s="79"/>
      <c r="E39" s="79"/>
      <c r="F39" s="79"/>
      <c r="G39" s="79"/>
      <c r="H39" s="79"/>
      <c r="I39" s="79"/>
      <c r="J39" s="79"/>
      <c r="K39" s="79"/>
      <c r="L39" s="79"/>
      <c r="M39" s="79"/>
      <c r="N39" s="79"/>
    </row>
    <row r="40" spans="1:14" ht="15.75" customHeight="1" x14ac:dyDescent="0.25">
      <c r="A40" s="79"/>
      <c r="B40" s="79"/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79"/>
      <c r="N40" s="79"/>
    </row>
    <row r="41" spans="1:14" ht="15.75" customHeight="1" x14ac:dyDescent="0.25">
      <c r="A41" s="79"/>
      <c r="B41" s="79"/>
      <c r="C41" s="79"/>
      <c r="D41" s="79"/>
      <c r="E41" s="79"/>
      <c r="F41" s="79"/>
      <c r="G41" s="79"/>
      <c r="H41" s="79"/>
      <c r="I41" s="79"/>
      <c r="J41" s="79"/>
      <c r="K41" s="79"/>
      <c r="L41" s="79"/>
      <c r="M41" s="79"/>
      <c r="N41" s="79"/>
    </row>
    <row r="42" spans="1:14" ht="15.75" customHeight="1" x14ac:dyDescent="0.25">
      <c r="A42" s="79"/>
      <c r="B42" s="79"/>
      <c r="C42" s="79"/>
      <c r="D42" s="79"/>
      <c r="E42" s="79"/>
      <c r="F42" s="79"/>
      <c r="G42" s="79"/>
      <c r="H42" s="79"/>
      <c r="I42" s="79"/>
      <c r="J42" s="79"/>
      <c r="K42" s="79"/>
      <c r="L42" s="79"/>
      <c r="M42" s="79"/>
      <c r="N42" s="79"/>
    </row>
    <row r="43" spans="1:14" ht="15.75" customHeight="1" x14ac:dyDescent="0.25">
      <c r="A43" s="79"/>
      <c r="B43" s="79"/>
      <c r="C43" s="79"/>
      <c r="D43" s="79"/>
      <c r="E43" s="79"/>
      <c r="F43" s="79"/>
      <c r="G43" s="79"/>
      <c r="H43" s="79"/>
      <c r="I43" s="79"/>
      <c r="J43" s="79"/>
      <c r="K43" s="79"/>
      <c r="L43" s="79"/>
      <c r="M43" s="79"/>
      <c r="N43" s="79"/>
    </row>
    <row r="44" spans="1:14" ht="15.75" customHeight="1" x14ac:dyDescent="0.25">
      <c r="A44" s="79"/>
      <c r="B44" s="79"/>
      <c r="C44" s="79"/>
      <c r="D44" s="79"/>
      <c r="E44" s="79"/>
      <c r="F44" s="79"/>
      <c r="G44" s="79"/>
      <c r="H44" s="79"/>
      <c r="I44" s="79"/>
      <c r="J44" s="79"/>
      <c r="K44" s="79"/>
      <c r="L44" s="79"/>
      <c r="M44" s="79"/>
      <c r="N44" s="79"/>
    </row>
    <row r="45" spans="1:14" ht="15.75" customHeight="1" x14ac:dyDescent="0.25">
      <c r="A45" s="79"/>
      <c r="B45" s="79"/>
      <c r="C45" s="79"/>
      <c r="D45" s="79"/>
      <c r="E45" s="79"/>
      <c r="F45" s="79"/>
      <c r="G45" s="79"/>
      <c r="H45" s="79"/>
      <c r="I45" s="79"/>
      <c r="J45" s="79"/>
      <c r="K45" s="79"/>
      <c r="L45" s="79"/>
      <c r="M45" s="79"/>
      <c r="N45" s="79"/>
    </row>
    <row r="46" spans="1:14" ht="15.75" customHeight="1" x14ac:dyDescent="0.25">
      <c r="A46" s="79"/>
      <c r="B46" s="79"/>
      <c r="C46" s="79"/>
      <c r="D46" s="79"/>
      <c r="E46" s="79"/>
      <c r="F46" s="79"/>
      <c r="G46" s="79"/>
      <c r="H46" s="79"/>
      <c r="I46" s="79"/>
      <c r="J46" s="79"/>
      <c r="K46" s="79"/>
      <c r="L46" s="79"/>
      <c r="M46" s="79"/>
      <c r="N46" s="79"/>
    </row>
    <row r="47" spans="1:14" ht="15.75" customHeight="1" x14ac:dyDescent="0.25">
      <c r="A47" s="79"/>
      <c r="B47" s="79"/>
      <c r="C47" s="79"/>
      <c r="D47" s="79"/>
      <c r="E47" s="79"/>
      <c r="F47" s="79"/>
      <c r="G47" s="79"/>
      <c r="H47" s="79"/>
      <c r="I47" s="79"/>
      <c r="J47" s="79"/>
      <c r="K47" s="79"/>
      <c r="L47" s="79"/>
      <c r="M47" s="79"/>
      <c r="N47" s="79"/>
    </row>
    <row r="48" spans="1:14" ht="15.75" customHeight="1" x14ac:dyDescent="0.25">
      <c r="A48" s="79"/>
      <c r="B48" s="79"/>
      <c r="C48" s="79"/>
      <c r="D48" s="79"/>
      <c r="E48" s="79"/>
      <c r="F48" s="79"/>
      <c r="G48" s="79"/>
      <c r="H48" s="79"/>
      <c r="I48" s="79"/>
      <c r="J48" s="79"/>
      <c r="K48" s="79"/>
      <c r="L48" s="79"/>
      <c r="M48" s="79"/>
      <c r="N48" s="79"/>
    </row>
    <row r="49" spans="1:14" ht="15.75" customHeight="1" x14ac:dyDescent="0.25">
      <c r="A49" s="79"/>
      <c r="B49" s="79"/>
      <c r="C49" s="79"/>
      <c r="D49" s="79"/>
      <c r="E49" s="79"/>
      <c r="F49" s="79"/>
      <c r="G49" s="79"/>
      <c r="H49" s="79"/>
      <c r="I49" s="79"/>
      <c r="J49" s="79"/>
      <c r="K49" s="79"/>
      <c r="L49" s="79"/>
      <c r="M49" s="79"/>
      <c r="N49" s="79"/>
    </row>
    <row r="50" spans="1:14" ht="15.75" customHeight="1" x14ac:dyDescent="0.25">
      <c r="A50" s="79"/>
      <c r="B50" s="79"/>
      <c r="C50" s="79"/>
      <c r="D50" s="79"/>
      <c r="E50" s="79"/>
      <c r="F50" s="79"/>
      <c r="G50" s="79"/>
      <c r="H50" s="79"/>
      <c r="I50" s="79"/>
      <c r="J50" s="79"/>
      <c r="K50" s="79"/>
      <c r="L50" s="79"/>
      <c r="M50" s="79"/>
      <c r="N50" s="79"/>
    </row>
    <row r="51" spans="1:14" ht="15.75" customHeight="1" x14ac:dyDescent="0.25">
      <c r="A51" s="79"/>
      <c r="B51" s="79"/>
      <c r="C51" s="79"/>
      <c r="D51" s="79"/>
      <c r="E51" s="79"/>
      <c r="F51" s="79"/>
      <c r="G51" s="79"/>
      <c r="H51" s="79"/>
      <c r="I51" s="79"/>
      <c r="J51" s="79"/>
      <c r="K51" s="79"/>
      <c r="L51" s="79"/>
      <c r="M51" s="79"/>
      <c r="N51" s="79"/>
    </row>
    <row r="52" spans="1:14" ht="15.75" customHeight="1" x14ac:dyDescent="0.25">
      <c r="A52" s="79"/>
      <c r="B52" s="79"/>
      <c r="C52" s="79"/>
      <c r="D52" s="79"/>
      <c r="E52" s="79"/>
      <c r="F52" s="79"/>
      <c r="G52" s="79"/>
      <c r="H52" s="79"/>
      <c r="I52" s="79"/>
      <c r="J52" s="79"/>
      <c r="K52" s="79"/>
      <c r="L52" s="79"/>
      <c r="M52" s="79"/>
      <c r="N52" s="79"/>
    </row>
    <row r="53" spans="1:14" ht="15.75" customHeight="1" x14ac:dyDescent="0.25">
      <c r="A53" s="79"/>
      <c r="B53" s="79"/>
      <c r="C53" s="79"/>
      <c r="D53" s="79"/>
      <c r="E53" s="79"/>
      <c r="F53" s="79"/>
      <c r="G53" s="79"/>
      <c r="H53" s="79"/>
      <c r="I53" s="79"/>
      <c r="J53" s="79"/>
      <c r="K53" s="79"/>
      <c r="L53" s="79"/>
      <c r="M53" s="79"/>
      <c r="N53" s="79"/>
    </row>
    <row r="54" spans="1:14" ht="15.75" customHeight="1" x14ac:dyDescent="0.25">
      <c r="A54" s="79"/>
      <c r="B54" s="79"/>
      <c r="C54" s="79"/>
      <c r="D54" s="79"/>
      <c r="E54" s="79"/>
      <c r="F54" s="79"/>
      <c r="G54" s="79"/>
      <c r="H54" s="79"/>
      <c r="I54" s="79"/>
      <c r="J54" s="79"/>
      <c r="K54" s="79"/>
      <c r="L54" s="79"/>
      <c r="M54" s="79"/>
      <c r="N54" s="79"/>
    </row>
    <row r="55" spans="1:14" ht="15.75" customHeight="1" x14ac:dyDescent="0.25">
      <c r="A55" s="79"/>
      <c r="B55" s="79"/>
      <c r="C55" s="79"/>
      <c r="D55" s="79"/>
      <c r="E55" s="79"/>
      <c r="F55" s="79"/>
      <c r="G55" s="79"/>
      <c r="H55" s="79"/>
      <c r="I55" s="79"/>
      <c r="J55" s="79"/>
      <c r="K55" s="79"/>
      <c r="L55" s="79"/>
      <c r="M55" s="79"/>
      <c r="N55" s="79"/>
    </row>
    <row r="56" spans="1:14" ht="15.75" customHeight="1" x14ac:dyDescent="0.25">
      <c r="A56" s="79"/>
      <c r="B56" s="79"/>
      <c r="C56" s="79"/>
      <c r="D56" s="79"/>
      <c r="E56" s="79"/>
      <c r="F56" s="79"/>
      <c r="G56" s="79"/>
      <c r="H56" s="79"/>
      <c r="I56" s="79"/>
      <c r="J56" s="79"/>
      <c r="K56" s="79"/>
      <c r="L56" s="79"/>
      <c r="M56" s="79"/>
      <c r="N56" s="79"/>
    </row>
    <row r="57" spans="1:14" ht="15.75" customHeight="1" x14ac:dyDescent="0.25">
      <c r="A57" s="79"/>
      <c r="B57" s="79"/>
      <c r="C57" s="79"/>
      <c r="D57" s="79"/>
      <c r="E57" s="79"/>
      <c r="F57" s="79"/>
      <c r="G57" s="79"/>
      <c r="H57" s="79"/>
      <c r="I57" s="79"/>
      <c r="J57" s="79"/>
      <c r="K57" s="79"/>
      <c r="L57" s="79"/>
      <c r="M57" s="79"/>
      <c r="N57" s="79"/>
    </row>
    <row r="58" spans="1:14" ht="15.75" customHeight="1" x14ac:dyDescent="0.25">
      <c r="A58" s="79"/>
      <c r="B58" s="79"/>
      <c r="C58" s="79"/>
      <c r="D58" s="79"/>
      <c r="E58" s="79"/>
      <c r="F58" s="79"/>
      <c r="G58" s="79"/>
      <c r="H58" s="79"/>
      <c r="I58" s="79"/>
      <c r="J58" s="79"/>
      <c r="K58" s="79"/>
      <c r="L58" s="79"/>
      <c r="M58" s="79"/>
      <c r="N58" s="79"/>
    </row>
    <row r="59" spans="1:14" ht="15.75" customHeight="1" x14ac:dyDescent="0.25">
      <c r="A59" s="79"/>
      <c r="B59" s="79"/>
      <c r="C59" s="79"/>
      <c r="D59" s="79"/>
      <c r="E59" s="79"/>
      <c r="F59" s="79"/>
      <c r="G59" s="79"/>
      <c r="H59" s="79"/>
      <c r="I59" s="79"/>
      <c r="J59" s="79"/>
      <c r="K59" s="79"/>
      <c r="L59" s="79"/>
      <c r="M59" s="79"/>
      <c r="N59" s="79"/>
    </row>
    <row r="60" spans="1:14" ht="15.75" customHeight="1" x14ac:dyDescent="0.25">
      <c r="A60" s="79"/>
      <c r="B60" s="79"/>
      <c r="C60" s="79"/>
      <c r="D60" s="79"/>
      <c r="E60" s="79"/>
      <c r="F60" s="79"/>
      <c r="G60" s="79"/>
      <c r="H60" s="79"/>
      <c r="I60" s="79"/>
      <c r="J60" s="79"/>
      <c r="K60" s="79"/>
      <c r="L60" s="79"/>
      <c r="M60" s="79"/>
      <c r="N60" s="79"/>
    </row>
    <row r="61" spans="1:14" ht="15.75" customHeight="1" x14ac:dyDescent="0.25">
      <c r="A61" s="79"/>
      <c r="B61" s="79"/>
      <c r="C61" s="79"/>
      <c r="D61" s="79"/>
      <c r="E61" s="79"/>
      <c r="F61" s="79"/>
      <c r="G61" s="79"/>
      <c r="H61" s="79"/>
      <c r="I61" s="79"/>
      <c r="J61" s="79"/>
      <c r="K61" s="79"/>
      <c r="L61" s="79"/>
      <c r="M61" s="79"/>
      <c r="N61" s="79"/>
    </row>
    <row r="62" spans="1:14" ht="15.75" customHeight="1" x14ac:dyDescent="0.25">
      <c r="A62" s="79"/>
      <c r="B62" s="79"/>
      <c r="C62" s="79"/>
      <c r="D62" s="79"/>
      <c r="E62" s="79"/>
      <c r="F62" s="79"/>
      <c r="G62" s="79"/>
      <c r="H62" s="79"/>
      <c r="I62" s="79"/>
      <c r="J62" s="79"/>
      <c r="K62" s="79"/>
      <c r="L62" s="79"/>
      <c r="M62" s="79"/>
      <c r="N62" s="79"/>
    </row>
    <row r="63" spans="1:14" ht="15.75" customHeight="1" x14ac:dyDescent="0.25">
      <c r="A63" s="79"/>
      <c r="B63" s="79"/>
      <c r="C63" s="79"/>
      <c r="D63" s="79"/>
      <c r="E63" s="79"/>
      <c r="F63" s="79"/>
      <c r="G63" s="79"/>
      <c r="H63" s="79"/>
      <c r="I63" s="79"/>
      <c r="J63" s="79"/>
      <c r="K63" s="79"/>
      <c r="L63" s="79"/>
      <c r="M63" s="79"/>
      <c r="N63" s="79"/>
    </row>
    <row r="64" spans="1:14" ht="15.75" customHeight="1" x14ac:dyDescent="0.25">
      <c r="A64" s="79"/>
      <c r="B64" s="79"/>
      <c r="C64" s="79"/>
      <c r="D64" s="79"/>
      <c r="E64" s="79"/>
      <c r="F64" s="79"/>
      <c r="G64" s="79"/>
      <c r="H64" s="79"/>
      <c r="I64" s="79"/>
      <c r="J64" s="79"/>
      <c r="K64" s="79"/>
      <c r="L64" s="79"/>
      <c r="M64" s="79"/>
      <c r="N64" s="79"/>
    </row>
    <row r="65" spans="1:14" ht="15.75" customHeight="1" x14ac:dyDescent="0.25">
      <c r="A65" s="79"/>
      <c r="B65" s="79"/>
      <c r="C65" s="79"/>
      <c r="D65" s="79"/>
      <c r="E65" s="79"/>
      <c r="F65" s="79"/>
      <c r="G65" s="79"/>
      <c r="H65" s="79"/>
      <c r="I65" s="79"/>
      <c r="J65" s="79"/>
      <c r="K65" s="79"/>
      <c r="L65" s="79"/>
      <c r="M65" s="79"/>
      <c r="N65" s="79"/>
    </row>
    <row r="66" spans="1:14" ht="15.75" customHeight="1" x14ac:dyDescent="0.25">
      <c r="A66" s="79"/>
      <c r="B66" s="79"/>
      <c r="C66" s="79"/>
      <c r="D66" s="79"/>
      <c r="E66" s="79"/>
      <c r="F66" s="79"/>
      <c r="G66" s="79"/>
      <c r="H66" s="79"/>
      <c r="I66" s="79"/>
      <c r="J66" s="79"/>
      <c r="K66" s="79"/>
      <c r="L66" s="79"/>
      <c r="M66" s="79"/>
      <c r="N66" s="79"/>
    </row>
    <row r="67" spans="1:14" ht="15.75" customHeight="1" x14ac:dyDescent="0.25">
      <c r="A67" s="79"/>
      <c r="B67" s="79"/>
      <c r="C67" s="79"/>
      <c r="D67" s="79"/>
      <c r="E67" s="79"/>
      <c r="F67" s="79"/>
      <c r="G67" s="79"/>
      <c r="H67" s="79"/>
      <c r="I67" s="79"/>
      <c r="J67" s="79"/>
      <c r="K67" s="79"/>
      <c r="L67" s="79"/>
      <c r="M67" s="79"/>
      <c r="N67" s="79"/>
    </row>
    <row r="68" spans="1:14" ht="15.75" customHeight="1" x14ac:dyDescent="0.25">
      <c r="A68" s="79"/>
      <c r="B68" s="79"/>
      <c r="C68" s="79"/>
      <c r="D68" s="79"/>
      <c r="E68" s="79"/>
      <c r="F68" s="79"/>
      <c r="G68" s="79"/>
      <c r="H68" s="79"/>
      <c r="I68" s="79"/>
      <c r="J68" s="79"/>
      <c r="K68" s="79"/>
      <c r="L68" s="79"/>
      <c r="M68" s="79"/>
      <c r="N68" s="79"/>
    </row>
    <row r="69" spans="1:14" ht="15.75" customHeight="1" x14ac:dyDescent="0.25">
      <c r="A69" s="79"/>
      <c r="B69" s="79"/>
      <c r="C69" s="79"/>
      <c r="D69" s="79"/>
      <c r="E69" s="79"/>
      <c r="F69" s="79"/>
      <c r="G69" s="79"/>
      <c r="H69" s="79"/>
      <c r="I69" s="79"/>
      <c r="J69" s="79"/>
      <c r="K69" s="79"/>
      <c r="L69" s="79"/>
      <c r="M69" s="79"/>
      <c r="N69" s="79"/>
    </row>
    <row r="70" spans="1:14" ht="15.75" customHeight="1" x14ac:dyDescent="0.25">
      <c r="A70" s="79"/>
      <c r="B70" s="79"/>
      <c r="C70" s="79"/>
      <c r="D70" s="79"/>
      <c r="E70" s="79"/>
      <c r="F70" s="79"/>
      <c r="G70" s="79"/>
      <c r="H70" s="79"/>
      <c r="I70" s="79"/>
      <c r="J70" s="79"/>
      <c r="K70" s="79"/>
      <c r="L70" s="79"/>
      <c r="M70" s="79"/>
      <c r="N70" s="79"/>
    </row>
    <row r="71" spans="1:14" ht="15.75" customHeight="1" x14ac:dyDescent="0.25">
      <c r="A71" s="79"/>
      <c r="B71" s="79"/>
      <c r="C71" s="79"/>
      <c r="D71" s="79"/>
      <c r="E71" s="79"/>
      <c r="F71" s="79"/>
      <c r="G71" s="79"/>
      <c r="H71" s="79"/>
      <c r="I71" s="79"/>
      <c r="J71" s="79"/>
      <c r="K71" s="79"/>
      <c r="L71" s="79"/>
      <c r="M71" s="79"/>
      <c r="N71" s="79"/>
    </row>
    <row r="72" spans="1:14" ht="15.75" customHeight="1" x14ac:dyDescent="0.25">
      <c r="A72" s="79"/>
      <c r="B72" s="79"/>
      <c r="C72" s="79"/>
      <c r="D72" s="79"/>
      <c r="E72" s="79"/>
      <c r="F72" s="79"/>
      <c r="G72" s="79"/>
      <c r="H72" s="79"/>
      <c r="I72" s="79"/>
      <c r="J72" s="79"/>
      <c r="K72" s="79"/>
      <c r="L72" s="79"/>
      <c r="M72" s="79"/>
      <c r="N72" s="79"/>
    </row>
    <row r="73" spans="1:14" ht="15.75" customHeight="1" x14ac:dyDescent="0.25">
      <c r="A73" s="79"/>
      <c r="B73" s="79"/>
      <c r="C73" s="79"/>
      <c r="D73" s="79"/>
      <c r="E73" s="79"/>
      <c r="F73" s="79"/>
      <c r="G73" s="79"/>
      <c r="H73" s="79"/>
      <c r="I73" s="79"/>
      <c r="J73" s="79"/>
      <c r="K73" s="79"/>
      <c r="L73" s="79"/>
      <c r="M73" s="79"/>
      <c r="N73" s="79"/>
    </row>
    <row r="74" spans="1:14" ht="15.75" customHeight="1" x14ac:dyDescent="0.25">
      <c r="A74" s="79"/>
      <c r="B74" s="79"/>
      <c r="C74" s="79"/>
      <c r="D74" s="79"/>
      <c r="E74" s="79"/>
      <c r="F74" s="79"/>
      <c r="G74" s="79"/>
      <c r="H74" s="79"/>
      <c r="I74" s="79"/>
      <c r="J74" s="79"/>
      <c r="K74" s="79"/>
      <c r="L74" s="79"/>
      <c r="M74" s="79"/>
      <c r="N74" s="79"/>
    </row>
    <row r="75" spans="1:14" ht="15.75" customHeight="1" x14ac:dyDescent="0.25">
      <c r="A75" s="79"/>
      <c r="B75" s="79"/>
      <c r="C75" s="79"/>
      <c r="D75" s="79"/>
      <c r="E75" s="79"/>
      <c r="F75" s="79"/>
      <c r="G75" s="79"/>
      <c r="H75" s="79"/>
      <c r="I75" s="79"/>
      <c r="J75" s="79"/>
      <c r="K75" s="79"/>
      <c r="L75" s="79"/>
      <c r="M75" s="79"/>
      <c r="N75" s="79"/>
    </row>
    <row r="76" spans="1:14" ht="15.75" customHeight="1" x14ac:dyDescent="0.25">
      <c r="A76" s="79"/>
      <c r="B76" s="79"/>
      <c r="C76" s="79"/>
      <c r="D76" s="79"/>
      <c r="E76" s="79"/>
      <c r="F76" s="79"/>
      <c r="G76" s="79"/>
      <c r="H76" s="79"/>
      <c r="I76" s="79"/>
      <c r="J76" s="79"/>
      <c r="K76" s="79"/>
      <c r="L76" s="79"/>
      <c r="M76" s="79"/>
      <c r="N76" s="79"/>
    </row>
    <row r="77" spans="1:14" ht="15.75" customHeight="1" x14ac:dyDescent="0.25">
      <c r="A77" s="79"/>
      <c r="B77" s="79"/>
      <c r="C77" s="79"/>
      <c r="D77" s="79"/>
      <c r="E77" s="79"/>
      <c r="F77" s="79"/>
      <c r="G77" s="79"/>
      <c r="H77" s="79"/>
      <c r="I77" s="79"/>
      <c r="J77" s="79"/>
      <c r="K77" s="79"/>
      <c r="L77" s="79"/>
      <c r="M77" s="79"/>
      <c r="N77" s="79"/>
    </row>
    <row r="78" spans="1:14" ht="15.75" customHeight="1" x14ac:dyDescent="0.25">
      <c r="A78" s="79"/>
      <c r="B78" s="79"/>
      <c r="C78" s="79"/>
      <c r="D78" s="79"/>
      <c r="E78" s="79"/>
      <c r="F78" s="79"/>
      <c r="G78" s="79"/>
      <c r="H78" s="79"/>
      <c r="I78" s="79"/>
      <c r="J78" s="79"/>
      <c r="K78" s="79"/>
      <c r="L78" s="79"/>
      <c r="M78" s="79"/>
      <c r="N78" s="79"/>
    </row>
    <row r="79" spans="1:14" ht="15.75" customHeight="1" x14ac:dyDescent="0.25">
      <c r="A79" s="79"/>
      <c r="B79" s="79"/>
      <c r="C79" s="79"/>
      <c r="D79" s="79"/>
      <c r="E79" s="79"/>
      <c r="F79" s="79"/>
      <c r="G79" s="79"/>
      <c r="H79" s="79"/>
      <c r="I79" s="79"/>
      <c r="J79" s="79"/>
      <c r="K79" s="79"/>
      <c r="L79" s="79"/>
      <c r="M79" s="79"/>
      <c r="N79" s="79"/>
    </row>
    <row r="80" spans="1:14" ht="15.75" customHeight="1" x14ac:dyDescent="0.25">
      <c r="A80" s="79"/>
      <c r="B80" s="79"/>
      <c r="C80" s="79"/>
      <c r="D80" s="79"/>
      <c r="E80" s="79"/>
      <c r="F80" s="79"/>
      <c r="G80" s="79"/>
      <c r="H80" s="79"/>
      <c r="I80" s="79"/>
      <c r="J80" s="79"/>
      <c r="K80" s="79"/>
      <c r="L80" s="79"/>
      <c r="M80" s="79"/>
      <c r="N80" s="79"/>
    </row>
    <row r="81" spans="1:14" ht="15.75" customHeight="1" x14ac:dyDescent="0.25">
      <c r="A81" s="79"/>
      <c r="B81" s="79"/>
      <c r="C81" s="79"/>
      <c r="D81" s="79"/>
      <c r="E81" s="79"/>
      <c r="F81" s="79"/>
      <c r="G81" s="79"/>
      <c r="H81" s="79"/>
      <c r="I81" s="79"/>
      <c r="J81" s="79"/>
      <c r="K81" s="79"/>
      <c r="L81" s="79"/>
      <c r="M81" s="79"/>
      <c r="N81" s="79"/>
    </row>
    <row r="82" spans="1:14" ht="15.75" customHeight="1" x14ac:dyDescent="0.25">
      <c r="A82" s="79"/>
      <c r="B82" s="79"/>
      <c r="C82" s="79"/>
      <c r="D82" s="79"/>
      <c r="E82" s="79"/>
      <c r="F82" s="79"/>
      <c r="G82" s="79"/>
      <c r="H82" s="79"/>
      <c r="I82" s="79"/>
      <c r="J82" s="79"/>
      <c r="K82" s="79"/>
      <c r="L82" s="79"/>
      <c r="M82" s="79"/>
      <c r="N82" s="79"/>
    </row>
    <row r="83" spans="1:14" ht="15.75" customHeight="1" x14ac:dyDescent="0.25">
      <c r="A83" s="79"/>
      <c r="B83" s="79"/>
      <c r="C83" s="79"/>
      <c r="D83" s="79"/>
      <c r="E83" s="79"/>
      <c r="F83" s="79"/>
      <c r="G83" s="79"/>
      <c r="H83" s="79"/>
      <c r="I83" s="79"/>
      <c r="J83" s="79"/>
      <c r="K83" s="79"/>
      <c r="L83" s="79"/>
      <c r="M83" s="79"/>
      <c r="N83" s="79"/>
    </row>
    <row r="84" spans="1:14" ht="15.75" customHeight="1" x14ac:dyDescent="0.25">
      <c r="A84" s="79"/>
      <c r="B84" s="79"/>
      <c r="C84" s="79"/>
      <c r="D84" s="79"/>
      <c r="E84" s="79"/>
      <c r="F84" s="79"/>
      <c r="G84" s="79"/>
      <c r="H84" s="79"/>
      <c r="I84" s="79"/>
      <c r="J84" s="79"/>
      <c r="K84" s="79"/>
      <c r="L84" s="79"/>
      <c r="M84" s="79"/>
      <c r="N84" s="79"/>
    </row>
    <row r="85" spans="1:14" ht="15.75" customHeight="1" x14ac:dyDescent="0.25">
      <c r="A85" s="79"/>
      <c r="B85" s="79"/>
      <c r="C85" s="79"/>
      <c r="D85" s="79"/>
      <c r="E85" s="79"/>
      <c r="F85" s="79"/>
      <c r="G85" s="79"/>
      <c r="H85" s="79"/>
      <c r="I85" s="79"/>
      <c r="J85" s="79"/>
      <c r="K85" s="79"/>
      <c r="L85" s="79"/>
      <c r="M85" s="79"/>
      <c r="N85" s="79"/>
    </row>
    <row r="86" spans="1:14" ht="15.75" customHeight="1" x14ac:dyDescent="0.25">
      <c r="A86" s="79"/>
      <c r="B86" s="79"/>
      <c r="C86" s="79"/>
      <c r="D86" s="79"/>
      <c r="E86" s="79"/>
      <c r="F86" s="79"/>
      <c r="G86" s="79"/>
      <c r="H86" s="79"/>
      <c r="I86" s="79"/>
      <c r="J86" s="79"/>
      <c r="K86" s="79"/>
      <c r="L86" s="79"/>
      <c r="M86" s="79"/>
      <c r="N86" s="79"/>
    </row>
    <row r="87" spans="1:14" ht="15.75" customHeight="1" x14ac:dyDescent="0.25">
      <c r="A87" s="79"/>
      <c r="B87" s="79"/>
      <c r="C87" s="79"/>
      <c r="D87" s="79"/>
      <c r="E87" s="79"/>
      <c r="F87" s="79"/>
      <c r="G87" s="79"/>
      <c r="H87" s="79"/>
      <c r="I87" s="79"/>
      <c r="J87" s="79"/>
      <c r="K87" s="79"/>
      <c r="L87" s="79"/>
      <c r="M87" s="79"/>
      <c r="N87" s="79"/>
    </row>
    <row r="88" spans="1:14" ht="15.75" customHeight="1" x14ac:dyDescent="0.25">
      <c r="A88" s="79"/>
      <c r="B88" s="79"/>
      <c r="C88" s="79"/>
      <c r="D88" s="79"/>
      <c r="E88" s="79"/>
      <c r="F88" s="79"/>
      <c r="G88" s="79"/>
      <c r="H88" s="79"/>
      <c r="I88" s="79"/>
      <c r="J88" s="79"/>
      <c r="K88" s="79"/>
      <c r="L88" s="79"/>
      <c r="M88" s="79"/>
      <c r="N88" s="79"/>
    </row>
    <row r="89" spans="1:14" ht="15.75" customHeight="1" x14ac:dyDescent="0.25">
      <c r="A89" s="79"/>
      <c r="B89" s="79"/>
      <c r="C89" s="79"/>
      <c r="D89" s="79"/>
      <c r="E89" s="79"/>
      <c r="F89" s="79"/>
      <c r="G89" s="79"/>
      <c r="H89" s="79"/>
      <c r="I89" s="79"/>
      <c r="J89" s="79"/>
      <c r="K89" s="79"/>
      <c r="L89" s="79"/>
      <c r="M89" s="79"/>
      <c r="N89" s="79"/>
    </row>
    <row r="90" spans="1:14" ht="15.75" customHeight="1" x14ac:dyDescent="0.25">
      <c r="A90" s="79"/>
      <c r="B90" s="79"/>
      <c r="C90" s="79"/>
      <c r="D90" s="79"/>
      <c r="E90" s="79"/>
      <c r="F90" s="79"/>
      <c r="G90" s="79"/>
      <c r="H90" s="79"/>
      <c r="I90" s="79"/>
      <c r="J90" s="79"/>
      <c r="K90" s="79"/>
      <c r="L90" s="79"/>
      <c r="M90" s="79"/>
      <c r="N90" s="79"/>
    </row>
    <row r="91" spans="1:14" ht="15.75" customHeight="1" x14ac:dyDescent="0.25">
      <c r="A91" s="79"/>
      <c r="B91" s="79"/>
      <c r="C91" s="79"/>
      <c r="D91" s="79"/>
      <c r="E91" s="79"/>
      <c r="F91" s="79"/>
      <c r="G91" s="79"/>
      <c r="H91" s="79"/>
      <c r="I91" s="79"/>
      <c r="J91" s="79"/>
      <c r="K91" s="79"/>
      <c r="L91" s="79"/>
      <c r="M91" s="79"/>
      <c r="N91" s="79"/>
    </row>
    <row r="92" spans="1:14" ht="15.75" customHeight="1" x14ac:dyDescent="0.25">
      <c r="A92" s="79"/>
      <c r="B92" s="79"/>
      <c r="C92" s="79"/>
      <c r="D92" s="79"/>
      <c r="E92" s="79"/>
      <c r="F92" s="79"/>
      <c r="G92" s="79"/>
      <c r="H92" s="79"/>
      <c r="I92" s="79"/>
      <c r="J92" s="79"/>
      <c r="K92" s="79"/>
      <c r="L92" s="79"/>
      <c r="M92" s="79"/>
      <c r="N92" s="79"/>
    </row>
    <row r="93" spans="1:14" ht="15.75" customHeight="1" x14ac:dyDescent="0.25">
      <c r="A93" s="79"/>
      <c r="B93" s="79"/>
      <c r="C93" s="79"/>
      <c r="D93" s="79"/>
      <c r="E93" s="79"/>
      <c r="F93" s="79"/>
      <c r="G93" s="79"/>
      <c r="H93" s="79"/>
      <c r="I93" s="79"/>
      <c r="J93" s="79"/>
      <c r="K93" s="79"/>
      <c r="L93" s="79"/>
      <c r="M93" s="79"/>
      <c r="N93" s="79"/>
    </row>
    <row r="94" spans="1:14" ht="15.75" customHeight="1" x14ac:dyDescent="0.25">
      <c r="A94" s="79"/>
      <c r="B94" s="79"/>
      <c r="C94" s="79"/>
      <c r="D94" s="79"/>
      <c r="E94" s="79"/>
      <c r="F94" s="79"/>
      <c r="G94" s="79"/>
      <c r="H94" s="79"/>
      <c r="I94" s="79"/>
      <c r="J94" s="79"/>
      <c r="K94" s="79"/>
      <c r="L94" s="79"/>
      <c r="M94" s="79"/>
      <c r="N94" s="79"/>
    </row>
    <row r="95" spans="1:14" ht="15.75" customHeight="1" x14ac:dyDescent="0.25">
      <c r="A95" s="79"/>
      <c r="B95" s="79"/>
      <c r="C95" s="79"/>
      <c r="D95" s="79"/>
      <c r="E95" s="79"/>
      <c r="F95" s="79"/>
      <c r="G95" s="79"/>
      <c r="H95" s="79"/>
      <c r="I95" s="79"/>
      <c r="J95" s="79"/>
      <c r="K95" s="79"/>
      <c r="L95" s="79"/>
      <c r="M95" s="79"/>
      <c r="N95" s="79"/>
    </row>
    <row r="96" spans="1:14" ht="15.75" customHeight="1" x14ac:dyDescent="0.25">
      <c r="A96" s="79"/>
      <c r="B96" s="79"/>
      <c r="C96" s="79"/>
      <c r="D96" s="79"/>
      <c r="E96" s="79"/>
      <c r="F96" s="79"/>
      <c r="G96" s="79"/>
      <c r="H96" s="79"/>
      <c r="I96" s="79"/>
      <c r="J96" s="79"/>
      <c r="K96" s="79"/>
      <c r="L96" s="79"/>
      <c r="M96" s="79"/>
      <c r="N96" s="79"/>
    </row>
    <row r="97" spans="1:14" ht="15.75" customHeight="1" x14ac:dyDescent="0.25">
      <c r="A97" s="79"/>
      <c r="B97" s="79"/>
      <c r="C97" s="79"/>
      <c r="D97" s="79"/>
      <c r="E97" s="79"/>
      <c r="F97" s="79"/>
      <c r="G97" s="79"/>
      <c r="H97" s="79"/>
      <c r="I97" s="79"/>
      <c r="J97" s="79"/>
      <c r="K97" s="79"/>
      <c r="L97" s="79"/>
      <c r="M97" s="79"/>
      <c r="N97" s="79"/>
    </row>
    <row r="98" spans="1:14" ht="15.75" customHeight="1" x14ac:dyDescent="0.25">
      <c r="A98" s="79"/>
      <c r="B98" s="79"/>
      <c r="C98" s="79"/>
      <c r="D98" s="79"/>
      <c r="E98" s="79"/>
      <c r="F98" s="79"/>
      <c r="G98" s="79"/>
      <c r="H98" s="79"/>
      <c r="I98" s="79"/>
      <c r="J98" s="79"/>
      <c r="K98" s="79"/>
      <c r="L98" s="79"/>
      <c r="M98" s="79"/>
      <c r="N98" s="79"/>
    </row>
    <row r="99" spans="1:14" ht="15.75" customHeight="1" x14ac:dyDescent="0.25">
      <c r="A99" s="79"/>
      <c r="B99" s="79"/>
      <c r="C99" s="79"/>
      <c r="D99" s="79"/>
      <c r="E99" s="79"/>
      <c r="F99" s="79"/>
      <c r="G99" s="79"/>
      <c r="H99" s="79"/>
      <c r="I99" s="79"/>
      <c r="J99" s="79"/>
      <c r="K99" s="79"/>
      <c r="L99" s="79"/>
      <c r="M99" s="79"/>
      <c r="N99" s="79"/>
    </row>
    <row r="100" spans="1:14" ht="15.75" customHeight="1" x14ac:dyDescent="0.25">
      <c r="A100" s="79"/>
      <c r="B100" s="79"/>
      <c r="C100" s="79"/>
      <c r="D100" s="79"/>
      <c r="E100" s="79"/>
      <c r="F100" s="79"/>
      <c r="G100" s="79"/>
      <c r="H100" s="79"/>
      <c r="I100" s="79"/>
      <c r="J100" s="79"/>
      <c r="K100" s="79"/>
      <c r="L100" s="79"/>
      <c r="M100" s="79"/>
      <c r="N100" s="79"/>
    </row>
    <row r="101" spans="1:14" ht="15.75" customHeight="1" x14ac:dyDescent="0.25">
      <c r="A101" s="79"/>
      <c r="B101" s="79"/>
      <c r="C101" s="79"/>
      <c r="D101" s="79"/>
      <c r="E101" s="79"/>
      <c r="F101" s="79"/>
      <c r="G101" s="79"/>
      <c r="H101" s="79"/>
      <c r="I101" s="79"/>
      <c r="J101" s="79"/>
      <c r="K101" s="79"/>
      <c r="L101" s="79"/>
      <c r="M101" s="79"/>
      <c r="N101" s="79"/>
    </row>
    <row r="102" spans="1:14" ht="15.75" customHeight="1" x14ac:dyDescent="0.25">
      <c r="A102" s="79"/>
      <c r="B102" s="79"/>
      <c r="C102" s="79"/>
      <c r="D102" s="79"/>
      <c r="E102" s="79"/>
      <c r="F102" s="79"/>
      <c r="G102" s="79"/>
      <c r="H102" s="79"/>
      <c r="I102" s="79"/>
      <c r="J102" s="79"/>
      <c r="K102" s="79"/>
      <c r="L102" s="79"/>
      <c r="M102" s="79"/>
      <c r="N102" s="79"/>
    </row>
    <row r="103" spans="1:14" ht="15.75" customHeight="1" x14ac:dyDescent="0.25">
      <c r="A103" s="79"/>
      <c r="B103" s="79"/>
      <c r="C103" s="79"/>
      <c r="D103" s="79"/>
      <c r="E103" s="79"/>
      <c r="F103" s="79"/>
      <c r="G103" s="79"/>
      <c r="H103" s="79"/>
      <c r="I103" s="79"/>
      <c r="J103" s="79"/>
      <c r="K103" s="79"/>
      <c r="L103" s="79"/>
      <c r="M103" s="79"/>
      <c r="N103" s="79"/>
    </row>
    <row r="104" spans="1:14" ht="15.75" customHeight="1" x14ac:dyDescent="0.25">
      <c r="A104" s="79"/>
      <c r="B104" s="79"/>
      <c r="C104" s="79"/>
      <c r="D104" s="79"/>
      <c r="E104" s="79"/>
      <c r="F104" s="79"/>
      <c r="G104" s="79"/>
      <c r="H104" s="79"/>
      <c r="I104" s="79"/>
      <c r="J104" s="79"/>
      <c r="K104" s="79"/>
      <c r="L104" s="79"/>
      <c r="M104" s="79"/>
      <c r="N104" s="79"/>
    </row>
    <row r="105" spans="1:14" ht="15.75" customHeight="1" x14ac:dyDescent="0.25">
      <c r="A105" s="79"/>
      <c r="B105" s="79"/>
      <c r="C105" s="79"/>
      <c r="D105" s="79"/>
      <c r="E105" s="79"/>
      <c r="F105" s="79"/>
      <c r="G105" s="79"/>
      <c r="H105" s="79"/>
      <c r="I105" s="79"/>
      <c r="J105" s="79"/>
      <c r="K105" s="79"/>
      <c r="L105" s="79"/>
      <c r="M105" s="79"/>
      <c r="N105" s="79"/>
    </row>
    <row r="106" spans="1:14" ht="15.75" customHeight="1" x14ac:dyDescent="0.25">
      <c r="A106" s="79"/>
      <c r="B106" s="79"/>
      <c r="C106" s="79"/>
      <c r="D106" s="79"/>
      <c r="E106" s="79"/>
      <c r="F106" s="79"/>
      <c r="G106" s="79"/>
      <c r="H106" s="79"/>
      <c r="I106" s="79"/>
      <c r="J106" s="79"/>
      <c r="K106" s="79"/>
      <c r="L106" s="79"/>
      <c r="M106" s="79"/>
      <c r="N106" s="79"/>
    </row>
    <row r="107" spans="1:14" ht="15.75" customHeight="1" x14ac:dyDescent="0.25">
      <c r="A107" s="79"/>
      <c r="B107" s="79"/>
      <c r="C107" s="79"/>
      <c r="D107" s="79"/>
      <c r="E107" s="79"/>
      <c r="F107" s="79"/>
      <c r="G107" s="79"/>
      <c r="H107" s="79"/>
      <c r="I107" s="79"/>
      <c r="J107" s="79"/>
      <c r="K107" s="79"/>
      <c r="L107" s="79"/>
      <c r="M107" s="79"/>
      <c r="N107" s="79"/>
    </row>
    <row r="108" spans="1:14" ht="15.75" customHeight="1" x14ac:dyDescent="0.25">
      <c r="A108" s="79"/>
      <c r="B108" s="79"/>
      <c r="C108" s="79"/>
      <c r="D108" s="79"/>
      <c r="E108" s="79"/>
      <c r="F108" s="79"/>
      <c r="G108" s="79"/>
      <c r="H108" s="79"/>
      <c r="I108" s="79"/>
      <c r="J108" s="79"/>
      <c r="K108" s="79"/>
      <c r="L108" s="79"/>
      <c r="M108" s="79"/>
      <c r="N108" s="79"/>
    </row>
    <row r="109" spans="1:14" ht="15.75" customHeight="1" x14ac:dyDescent="0.25">
      <c r="A109" s="79"/>
      <c r="B109" s="79"/>
      <c r="C109" s="79"/>
      <c r="D109" s="79"/>
      <c r="E109" s="79"/>
      <c r="F109" s="79"/>
      <c r="G109" s="79"/>
      <c r="H109" s="79"/>
      <c r="I109" s="79"/>
      <c r="J109" s="79"/>
      <c r="K109" s="79"/>
      <c r="L109" s="79"/>
      <c r="M109" s="79"/>
      <c r="N109" s="79"/>
    </row>
    <row r="110" spans="1:14" ht="15.75" customHeight="1" x14ac:dyDescent="0.25">
      <c r="A110" s="79"/>
      <c r="B110" s="79"/>
      <c r="C110" s="79"/>
      <c r="D110" s="79"/>
      <c r="E110" s="79"/>
      <c r="F110" s="79"/>
      <c r="G110" s="79"/>
      <c r="H110" s="79"/>
      <c r="I110" s="79"/>
      <c r="J110" s="79"/>
      <c r="K110" s="79"/>
      <c r="L110" s="79"/>
      <c r="M110" s="79"/>
      <c r="N110" s="79"/>
    </row>
    <row r="111" spans="1:14" ht="15.75" customHeight="1" x14ac:dyDescent="0.25">
      <c r="A111" s="79"/>
      <c r="B111" s="79"/>
      <c r="C111" s="79"/>
      <c r="D111" s="79"/>
      <c r="E111" s="79"/>
      <c r="F111" s="79"/>
      <c r="G111" s="79"/>
      <c r="H111" s="79"/>
      <c r="I111" s="79"/>
      <c r="J111" s="79"/>
      <c r="K111" s="79"/>
      <c r="L111" s="79"/>
      <c r="M111" s="79"/>
      <c r="N111" s="79"/>
    </row>
    <row r="112" spans="1:14" ht="15.75" customHeight="1" x14ac:dyDescent="0.25">
      <c r="A112" s="79"/>
      <c r="B112" s="79"/>
      <c r="C112" s="79"/>
      <c r="D112" s="79"/>
      <c r="E112" s="79"/>
      <c r="F112" s="79"/>
      <c r="G112" s="79"/>
      <c r="H112" s="79"/>
      <c r="I112" s="79"/>
      <c r="J112" s="79"/>
      <c r="K112" s="79"/>
      <c r="L112" s="79"/>
      <c r="M112" s="79"/>
      <c r="N112" s="79"/>
    </row>
    <row r="113" spans="1:14" ht="15.75" customHeight="1" x14ac:dyDescent="0.25">
      <c r="A113" s="79"/>
      <c r="B113" s="79"/>
      <c r="C113" s="79"/>
      <c r="D113" s="79"/>
      <c r="E113" s="79"/>
      <c r="F113" s="79"/>
      <c r="G113" s="79"/>
      <c r="H113" s="79"/>
      <c r="I113" s="79"/>
      <c r="J113" s="79"/>
      <c r="K113" s="79"/>
      <c r="L113" s="79"/>
      <c r="M113" s="79"/>
      <c r="N113" s="79"/>
    </row>
    <row r="114" spans="1:14" ht="15.75" customHeight="1" x14ac:dyDescent="0.25">
      <c r="A114" s="79"/>
      <c r="B114" s="79"/>
      <c r="C114" s="79"/>
      <c r="D114" s="79"/>
      <c r="E114" s="79"/>
      <c r="F114" s="79"/>
      <c r="G114" s="79"/>
      <c r="H114" s="79"/>
      <c r="I114" s="79"/>
      <c r="J114" s="79"/>
      <c r="K114" s="79"/>
      <c r="L114" s="79"/>
      <c r="M114" s="79"/>
      <c r="N114" s="79"/>
    </row>
    <row r="115" spans="1:14" ht="15.75" customHeight="1" x14ac:dyDescent="0.25">
      <c r="A115" s="79"/>
      <c r="B115" s="79"/>
      <c r="C115" s="79"/>
      <c r="D115" s="79"/>
      <c r="E115" s="79"/>
      <c r="F115" s="79"/>
      <c r="G115" s="79"/>
      <c r="H115" s="79"/>
      <c r="I115" s="79"/>
      <c r="J115" s="79"/>
      <c r="K115" s="79"/>
      <c r="L115" s="79"/>
      <c r="M115" s="79"/>
      <c r="N115" s="79"/>
    </row>
    <row r="116" spans="1:14" ht="15.75" customHeight="1" x14ac:dyDescent="0.25">
      <c r="A116" s="79"/>
      <c r="B116" s="79"/>
      <c r="C116" s="79"/>
      <c r="D116" s="79"/>
      <c r="E116" s="79"/>
      <c r="F116" s="79"/>
      <c r="G116" s="79"/>
      <c r="H116" s="79"/>
      <c r="I116" s="79"/>
      <c r="J116" s="79"/>
      <c r="K116" s="79"/>
      <c r="L116" s="79"/>
      <c r="M116" s="79"/>
      <c r="N116" s="79"/>
    </row>
    <row r="117" spans="1:14" ht="15.75" customHeight="1" x14ac:dyDescent="0.25">
      <c r="A117" s="79"/>
      <c r="B117" s="79"/>
      <c r="C117" s="79"/>
      <c r="D117" s="79"/>
      <c r="E117" s="79"/>
      <c r="F117" s="79"/>
      <c r="G117" s="79"/>
      <c r="H117" s="79"/>
      <c r="I117" s="79"/>
      <c r="J117" s="79"/>
      <c r="K117" s="79"/>
      <c r="L117" s="79"/>
      <c r="M117" s="79"/>
      <c r="N117" s="79"/>
    </row>
    <row r="118" spans="1:14" ht="15.75" customHeight="1" x14ac:dyDescent="0.25">
      <c r="A118" s="79"/>
      <c r="B118" s="79"/>
      <c r="C118" s="79"/>
      <c r="D118" s="79"/>
      <c r="E118" s="79"/>
      <c r="F118" s="79"/>
      <c r="G118" s="79"/>
      <c r="H118" s="79"/>
      <c r="I118" s="79"/>
      <c r="J118" s="79"/>
      <c r="K118" s="79"/>
      <c r="L118" s="79"/>
      <c r="M118" s="79"/>
      <c r="N118" s="79"/>
    </row>
    <row r="119" spans="1:14" ht="15.75" customHeight="1" x14ac:dyDescent="0.25">
      <c r="A119" s="79"/>
      <c r="B119" s="79"/>
      <c r="C119" s="79"/>
      <c r="D119" s="79"/>
      <c r="E119" s="79"/>
      <c r="F119" s="79"/>
      <c r="G119" s="79"/>
      <c r="H119" s="79"/>
      <c r="I119" s="79"/>
      <c r="J119" s="79"/>
      <c r="K119" s="79"/>
      <c r="L119" s="79"/>
      <c r="M119" s="79"/>
      <c r="N119" s="79"/>
    </row>
    <row r="120" spans="1:14" ht="15.75" customHeight="1" x14ac:dyDescent="0.25">
      <c r="A120" s="79"/>
      <c r="B120" s="79"/>
      <c r="C120" s="79"/>
      <c r="D120" s="79"/>
      <c r="E120" s="79"/>
      <c r="F120" s="79"/>
      <c r="G120" s="79"/>
      <c r="H120" s="79"/>
      <c r="I120" s="79"/>
      <c r="J120" s="79"/>
      <c r="K120" s="79"/>
      <c r="L120" s="79"/>
      <c r="M120" s="79"/>
      <c r="N120" s="79"/>
    </row>
    <row r="121" spans="1:14" ht="15.75" customHeight="1" x14ac:dyDescent="0.25">
      <c r="A121" s="79"/>
      <c r="B121" s="79"/>
      <c r="C121" s="79"/>
      <c r="D121" s="79"/>
      <c r="E121" s="79"/>
      <c r="F121" s="79"/>
      <c r="G121" s="79"/>
      <c r="H121" s="79"/>
      <c r="I121" s="79"/>
      <c r="J121" s="79"/>
      <c r="K121" s="79"/>
      <c r="L121" s="79"/>
      <c r="M121" s="79"/>
      <c r="N121" s="79"/>
    </row>
    <row r="122" spans="1:14" ht="15.75" customHeight="1" x14ac:dyDescent="0.25">
      <c r="A122" s="79"/>
      <c r="B122" s="79"/>
      <c r="C122" s="79"/>
      <c r="D122" s="79"/>
      <c r="E122" s="79"/>
      <c r="F122" s="79"/>
      <c r="G122" s="79"/>
      <c r="H122" s="79"/>
      <c r="I122" s="79"/>
      <c r="J122" s="79"/>
      <c r="K122" s="79"/>
      <c r="L122" s="79"/>
      <c r="M122" s="79"/>
      <c r="N122" s="79"/>
    </row>
    <row r="123" spans="1:14" ht="15.75" customHeight="1" x14ac:dyDescent="0.25">
      <c r="A123" s="79"/>
      <c r="B123" s="79"/>
      <c r="C123" s="79"/>
      <c r="D123" s="79"/>
      <c r="E123" s="79"/>
      <c r="F123" s="79"/>
      <c r="G123" s="79"/>
      <c r="H123" s="79"/>
      <c r="I123" s="79"/>
      <c r="J123" s="79"/>
      <c r="K123" s="79"/>
      <c r="L123" s="79"/>
      <c r="M123" s="79"/>
      <c r="N123" s="79"/>
    </row>
    <row r="124" spans="1:14" ht="15.75" customHeight="1" x14ac:dyDescent="0.25">
      <c r="A124" s="79"/>
      <c r="B124" s="79"/>
      <c r="C124" s="79"/>
      <c r="D124" s="79"/>
      <c r="E124" s="79"/>
      <c r="F124" s="79"/>
      <c r="G124" s="79"/>
      <c r="H124" s="79"/>
      <c r="I124" s="79"/>
      <c r="J124" s="79"/>
      <c r="K124" s="79"/>
      <c r="L124" s="79"/>
      <c r="M124" s="79"/>
      <c r="N124" s="79"/>
    </row>
    <row r="125" spans="1:14" ht="15.75" customHeight="1" x14ac:dyDescent="0.25">
      <c r="A125" s="79"/>
      <c r="B125" s="79"/>
      <c r="C125" s="79"/>
      <c r="D125" s="79"/>
      <c r="E125" s="79"/>
      <c r="F125" s="79"/>
      <c r="G125" s="79"/>
      <c r="H125" s="79"/>
      <c r="I125" s="79"/>
      <c r="J125" s="79"/>
      <c r="K125" s="79"/>
      <c r="L125" s="79"/>
      <c r="M125" s="79"/>
      <c r="N125" s="79"/>
    </row>
    <row r="126" spans="1:14" ht="15.75" customHeight="1" x14ac:dyDescent="0.25">
      <c r="A126" s="79"/>
      <c r="B126" s="79"/>
      <c r="C126" s="79"/>
      <c r="D126" s="79"/>
      <c r="E126" s="79"/>
      <c r="F126" s="79"/>
      <c r="G126" s="79"/>
      <c r="H126" s="79"/>
      <c r="I126" s="79"/>
      <c r="J126" s="79"/>
      <c r="K126" s="79"/>
      <c r="L126" s="79"/>
      <c r="M126" s="79"/>
      <c r="N126" s="79"/>
    </row>
    <row r="127" spans="1:14" ht="15.75" customHeight="1" x14ac:dyDescent="0.25">
      <c r="A127" s="79"/>
      <c r="B127" s="79"/>
      <c r="C127" s="79"/>
      <c r="D127" s="79"/>
      <c r="E127" s="79"/>
      <c r="F127" s="79"/>
      <c r="G127" s="79"/>
      <c r="H127" s="79"/>
      <c r="I127" s="79"/>
      <c r="J127" s="79"/>
      <c r="K127" s="79"/>
      <c r="L127" s="79"/>
      <c r="M127" s="79"/>
      <c r="N127" s="79"/>
    </row>
    <row r="128" spans="1:14" ht="15.75" customHeight="1" x14ac:dyDescent="0.25">
      <c r="A128" s="79"/>
      <c r="B128" s="79"/>
      <c r="C128" s="79"/>
      <c r="D128" s="79"/>
      <c r="E128" s="79"/>
      <c r="F128" s="79"/>
      <c r="G128" s="79"/>
      <c r="H128" s="79"/>
      <c r="I128" s="79"/>
      <c r="J128" s="79"/>
      <c r="K128" s="79"/>
      <c r="L128" s="79"/>
      <c r="M128" s="79"/>
      <c r="N128" s="79"/>
    </row>
    <row r="129" spans="1:14" ht="15.75" customHeight="1" x14ac:dyDescent="0.25">
      <c r="A129" s="79"/>
      <c r="B129" s="79"/>
      <c r="C129" s="79"/>
      <c r="D129" s="79"/>
      <c r="E129" s="79"/>
      <c r="F129" s="79"/>
      <c r="G129" s="79"/>
      <c r="H129" s="79"/>
      <c r="I129" s="79"/>
      <c r="J129" s="79"/>
      <c r="K129" s="79"/>
      <c r="L129" s="79"/>
      <c r="M129" s="79"/>
      <c r="N129" s="79"/>
    </row>
    <row r="130" spans="1:14" ht="15.75" customHeight="1" x14ac:dyDescent="0.25">
      <c r="A130" s="79"/>
      <c r="B130" s="79"/>
      <c r="C130" s="79"/>
      <c r="D130" s="79"/>
      <c r="E130" s="79"/>
      <c r="F130" s="79"/>
      <c r="G130" s="79"/>
      <c r="H130" s="79"/>
      <c r="I130" s="79"/>
      <c r="J130" s="79"/>
      <c r="K130" s="79"/>
      <c r="L130" s="79"/>
      <c r="M130" s="79"/>
      <c r="N130" s="79"/>
    </row>
    <row r="131" spans="1:14" ht="15.75" customHeight="1" x14ac:dyDescent="0.25">
      <c r="A131" s="79"/>
      <c r="B131" s="79"/>
      <c r="C131" s="79"/>
      <c r="D131" s="79"/>
      <c r="E131" s="79"/>
      <c r="F131" s="79"/>
      <c r="G131" s="79"/>
      <c r="H131" s="79"/>
      <c r="I131" s="79"/>
      <c r="J131" s="79"/>
      <c r="K131" s="79"/>
      <c r="L131" s="79"/>
      <c r="M131" s="79"/>
      <c r="N131" s="79"/>
    </row>
    <row r="132" spans="1:14" ht="15.75" customHeight="1" x14ac:dyDescent="0.25">
      <c r="A132" s="79"/>
      <c r="B132" s="79"/>
      <c r="C132" s="79"/>
      <c r="D132" s="79"/>
      <c r="E132" s="79"/>
      <c r="F132" s="79"/>
      <c r="G132" s="79"/>
      <c r="H132" s="79"/>
      <c r="I132" s="79"/>
      <c r="J132" s="79"/>
      <c r="K132" s="79"/>
      <c r="L132" s="79"/>
      <c r="M132" s="79"/>
      <c r="N132" s="79"/>
    </row>
    <row r="133" spans="1:14" ht="15.75" customHeight="1" x14ac:dyDescent="0.25">
      <c r="A133" s="79"/>
      <c r="B133" s="79"/>
      <c r="C133" s="79"/>
      <c r="D133" s="79"/>
      <c r="E133" s="79"/>
      <c r="F133" s="79"/>
      <c r="G133" s="79"/>
      <c r="H133" s="79"/>
      <c r="I133" s="79"/>
      <c r="J133" s="79"/>
      <c r="K133" s="79"/>
      <c r="L133" s="79"/>
      <c r="M133" s="79"/>
      <c r="N133" s="79"/>
    </row>
    <row r="134" spans="1:14" ht="15.75" customHeight="1" x14ac:dyDescent="0.25">
      <c r="A134" s="79"/>
      <c r="B134" s="79"/>
      <c r="C134" s="79"/>
      <c r="D134" s="79"/>
      <c r="E134" s="79"/>
      <c r="F134" s="79"/>
      <c r="G134" s="79"/>
      <c r="H134" s="79"/>
      <c r="I134" s="79"/>
      <c r="J134" s="79"/>
      <c r="K134" s="79"/>
      <c r="L134" s="79"/>
      <c r="M134" s="79"/>
      <c r="N134" s="79"/>
    </row>
    <row r="135" spans="1:14" ht="15.75" customHeight="1" x14ac:dyDescent="0.25">
      <c r="A135" s="79"/>
      <c r="B135" s="79"/>
      <c r="C135" s="79"/>
      <c r="D135" s="79"/>
      <c r="E135" s="79"/>
      <c r="F135" s="79"/>
      <c r="G135" s="79"/>
      <c r="H135" s="79"/>
      <c r="I135" s="79"/>
      <c r="J135" s="79"/>
      <c r="K135" s="79"/>
      <c r="L135" s="79"/>
      <c r="M135" s="79"/>
      <c r="N135" s="79"/>
    </row>
    <row r="136" spans="1:14" ht="15.75" customHeight="1" x14ac:dyDescent="0.25">
      <c r="A136" s="79"/>
      <c r="B136" s="79"/>
      <c r="C136" s="79"/>
      <c r="D136" s="79"/>
      <c r="E136" s="79"/>
      <c r="F136" s="79"/>
      <c r="G136" s="79"/>
      <c r="H136" s="79"/>
      <c r="I136" s="79"/>
      <c r="J136" s="79"/>
      <c r="K136" s="79"/>
      <c r="L136" s="79"/>
      <c r="M136" s="79"/>
      <c r="N136" s="79"/>
    </row>
    <row r="137" spans="1:14" ht="15.75" customHeight="1" x14ac:dyDescent="0.25">
      <c r="A137" s="79"/>
      <c r="B137" s="79"/>
      <c r="C137" s="79"/>
      <c r="D137" s="79"/>
      <c r="E137" s="79"/>
      <c r="F137" s="79"/>
      <c r="G137" s="79"/>
      <c r="H137" s="79"/>
      <c r="I137" s="79"/>
      <c r="J137" s="79"/>
      <c r="K137" s="79"/>
      <c r="L137" s="79"/>
      <c r="M137" s="79"/>
      <c r="N137" s="79"/>
    </row>
    <row r="138" spans="1:14" ht="15.75" customHeight="1" x14ac:dyDescent="0.25">
      <c r="A138" s="79"/>
      <c r="B138" s="79"/>
      <c r="C138" s="79"/>
      <c r="D138" s="79"/>
      <c r="E138" s="79"/>
      <c r="F138" s="79"/>
      <c r="G138" s="79"/>
      <c r="H138" s="79"/>
      <c r="I138" s="79"/>
      <c r="J138" s="79"/>
      <c r="K138" s="79"/>
      <c r="L138" s="79"/>
      <c r="M138" s="79"/>
      <c r="N138" s="79"/>
    </row>
    <row r="139" spans="1:14" ht="15.75" customHeight="1" x14ac:dyDescent="0.25">
      <c r="A139" s="79"/>
      <c r="B139" s="79"/>
      <c r="C139" s="79"/>
      <c r="D139" s="79"/>
      <c r="E139" s="79"/>
      <c r="F139" s="79"/>
      <c r="G139" s="79"/>
      <c r="H139" s="79"/>
      <c r="I139" s="79"/>
      <c r="J139" s="79"/>
      <c r="K139" s="79"/>
      <c r="L139" s="79"/>
      <c r="M139" s="79"/>
      <c r="N139" s="79"/>
    </row>
    <row r="140" spans="1:14" ht="15.75" customHeight="1" x14ac:dyDescent="0.25">
      <c r="A140" s="79"/>
      <c r="B140" s="79"/>
      <c r="C140" s="79"/>
      <c r="D140" s="79"/>
      <c r="E140" s="79"/>
      <c r="F140" s="79"/>
      <c r="G140" s="79"/>
      <c r="H140" s="79"/>
      <c r="I140" s="79"/>
      <c r="J140" s="79"/>
      <c r="K140" s="79"/>
      <c r="L140" s="79"/>
      <c r="M140" s="79"/>
      <c r="N140" s="79"/>
    </row>
    <row r="141" spans="1:14" ht="15.75" customHeight="1" x14ac:dyDescent="0.25">
      <c r="A141" s="79"/>
      <c r="B141" s="79"/>
      <c r="C141" s="79"/>
      <c r="D141" s="79"/>
      <c r="E141" s="79"/>
      <c r="F141" s="79"/>
      <c r="G141" s="79"/>
      <c r="H141" s="79"/>
      <c r="I141" s="79"/>
      <c r="J141" s="79"/>
      <c r="K141" s="79"/>
      <c r="L141" s="79"/>
      <c r="M141" s="79"/>
      <c r="N141" s="79"/>
    </row>
    <row r="142" spans="1:14" ht="15.75" customHeight="1" x14ac:dyDescent="0.25">
      <c r="A142" s="79"/>
      <c r="B142" s="79"/>
      <c r="C142" s="79"/>
      <c r="D142" s="79"/>
      <c r="E142" s="79"/>
      <c r="F142" s="79"/>
      <c r="G142" s="79"/>
      <c r="H142" s="79"/>
      <c r="I142" s="79"/>
      <c r="J142" s="79"/>
      <c r="K142" s="79"/>
      <c r="L142" s="79"/>
      <c r="M142" s="79"/>
      <c r="N142" s="79"/>
    </row>
    <row r="143" spans="1:14" ht="15.75" customHeight="1" x14ac:dyDescent="0.25">
      <c r="A143" s="79"/>
      <c r="B143" s="79"/>
      <c r="C143" s="79"/>
      <c r="D143" s="79"/>
      <c r="E143" s="79"/>
      <c r="F143" s="79"/>
      <c r="G143" s="79"/>
      <c r="H143" s="79"/>
      <c r="I143" s="79"/>
      <c r="J143" s="79"/>
      <c r="K143" s="79"/>
      <c r="L143" s="79"/>
      <c r="M143" s="79"/>
      <c r="N143" s="79"/>
    </row>
    <row r="144" spans="1:14" ht="15.75" customHeight="1" x14ac:dyDescent="0.25">
      <c r="A144" s="79"/>
      <c r="B144" s="79"/>
      <c r="C144" s="79"/>
      <c r="D144" s="79"/>
      <c r="E144" s="79"/>
      <c r="F144" s="79"/>
      <c r="G144" s="79"/>
      <c r="H144" s="79"/>
      <c r="I144" s="79"/>
      <c r="J144" s="79"/>
      <c r="K144" s="79"/>
      <c r="L144" s="79"/>
      <c r="M144" s="79"/>
      <c r="N144" s="79"/>
    </row>
    <row r="145" spans="1:14" ht="15.75" customHeight="1" x14ac:dyDescent="0.25">
      <c r="A145" s="79"/>
      <c r="B145" s="79"/>
      <c r="C145" s="79"/>
      <c r="D145" s="79"/>
      <c r="E145" s="79"/>
      <c r="F145" s="79"/>
      <c r="G145" s="79"/>
      <c r="H145" s="79"/>
      <c r="I145" s="79"/>
      <c r="J145" s="79"/>
      <c r="K145" s="79"/>
      <c r="L145" s="79"/>
      <c r="M145" s="79"/>
      <c r="N145" s="79"/>
    </row>
    <row r="146" spans="1:14" ht="15.75" customHeight="1" x14ac:dyDescent="0.25">
      <c r="A146" s="79"/>
      <c r="B146" s="79"/>
      <c r="C146" s="79"/>
      <c r="D146" s="79"/>
      <c r="E146" s="79"/>
      <c r="F146" s="79"/>
      <c r="G146" s="79"/>
      <c r="H146" s="79"/>
      <c r="I146" s="79"/>
      <c r="J146" s="79"/>
      <c r="K146" s="79"/>
      <c r="L146" s="79"/>
      <c r="M146" s="79"/>
      <c r="N146" s="79"/>
    </row>
    <row r="147" spans="1:14" ht="15.75" customHeight="1" x14ac:dyDescent="0.25">
      <c r="A147" s="79"/>
      <c r="B147" s="79"/>
      <c r="C147" s="79"/>
      <c r="D147" s="79"/>
      <c r="E147" s="79"/>
      <c r="F147" s="79"/>
      <c r="G147" s="79"/>
      <c r="H147" s="79"/>
      <c r="I147" s="79"/>
      <c r="J147" s="79"/>
      <c r="K147" s="79"/>
      <c r="L147" s="79"/>
      <c r="M147" s="79"/>
      <c r="N147" s="79"/>
    </row>
    <row r="148" spans="1:14" ht="15.75" customHeight="1" x14ac:dyDescent="0.25">
      <c r="A148" s="79"/>
      <c r="B148" s="79"/>
      <c r="C148" s="79"/>
      <c r="D148" s="79"/>
      <c r="E148" s="79"/>
      <c r="F148" s="79"/>
      <c r="G148" s="79"/>
      <c r="H148" s="79"/>
      <c r="I148" s="79"/>
      <c r="J148" s="79"/>
      <c r="K148" s="79"/>
      <c r="L148" s="79"/>
      <c r="M148" s="79"/>
      <c r="N148" s="79"/>
    </row>
    <row r="149" spans="1:14" ht="15.75" customHeight="1" x14ac:dyDescent="0.25">
      <c r="A149" s="79"/>
      <c r="B149" s="79"/>
      <c r="C149" s="79"/>
      <c r="D149" s="79"/>
      <c r="E149" s="79"/>
      <c r="F149" s="79"/>
      <c r="G149" s="79"/>
      <c r="H149" s="79"/>
      <c r="I149" s="79"/>
      <c r="J149" s="79"/>
      <c r="K149" s="79"/>
      <c r="L149" s="79"/>
      <c r="M149" s="79"/>
      <c r="N149" s="79"/>
    </row>
    <row r="150" spans="1:14" ht="15.75" customHeight="1" x14ac:dyDescent="0.25">
      <c r="A150" s="79"/>
      <c r="B150" s="79"/>
      <c r="C150" s="79"/>
      <c r="D150" s="79"/>
      <c r="E150" s="79"/>
      <c r="F150" s="79"/>
      <c r="G150" s="79"/>
      <c r="H150" s="79"/>
      <c r="I150" s="79"/>
      <c r="J150" s="79"/>
      <c r="K150" s="79"/>
      <c r="L150" s="79"/>
      <c r="M150" s="79"/>
      <c r="N150" s="79"/>
    </row>
    <row r="151" spans="1:14" ht="15.75" customHeight="1" x14ac:dyDescent="0.25">
      <c r="A151" s="79"/>
      <c r="B151" s="79"/>
      <c r="C151" s="79"/>
      <c r="D151" s="79"/>
      <c r="E151" s="79"/>
      <c r="F151" s="79"/>
      <c r="G151" s="79"/>
      <c r="H151" s="79"/>
      <c r="I151" s="79"/>
      <c r="J151" s="79"/>
      <c r="K151" s="79"/>
      <c r="L151" s="79"/>
      <c r="M151" s="79"/>
      <c r="N151" s="79"/>
    </row>
    <row r="152" spans="1:14" ht="15.75" customHeight="1" x14ac:dyDescent="0.25">
      <c r="A152" s="79"/>
      <c r="B152" s="79"/>
      <c r="C152" s="79"/>
      <c r="D152" s="79"/>
      <c r="E152" s="79"/>
      <c r="F152" s="79"/>
      <c r="G152" s="79"/>
      <c r="H152" s="79"/>
      <c r="I152" s="79"/>
      <c r="J152" s="79"/>
      <c r="K152" s="79"/>
      <c r="L152" s="79"/>
      <c r="M152" s="79"/>
      <c r="N152" s="79"/>
    </row>
    <row r="153" spans="1:14" ht="15.75" customHeight="1" x14ac:dyDescent="0.25">
      <c r="A153" s="79"/>
      <c r="B153" s="79"/>
      <c r="C153" s="79"/>
      <c r="D153" s="79"/>
      <c r="E153" s="79"/>
      <c r="F153" s="79"/>
      <c r="G153" s="79"/>
      <c r="H153" s="79"/>
      <c r="I153" s="79"/>
      <c r="J153" s="79"/>
      <c r="K153" s="79"/>
      <c r="L153" s="79"/>
      <c r="M153" s="79"/>
      <c r="N153" s="79"/>
    </row>
    <row r="154" spans="1:14" ht="15.75" customHeight="1" x14ac:dyDescent="0.25">
      <c r="A154" s="79"/>
      <c r="B154" s="79"/>
      <c r="C154" s="79"/>
      <c r="D154" s="79"/>
      <c r="E154" s="79"/>
      <c r="F154" s="79"/>
      <c r="G154" s="79"/>
      <c r="H154" s="79"/>
      <c r="I154" s="79"/>
      <c r="J154" s="79"/>
      <c r="K154" s="79"/>
      <c r="L154" s="79"/>
      <c r="M154" s="79"/>
      <c r="N154" s="79"/>
    </row>
    <row r="155" spans="1:14" ht="15.75" customHeight="1" x14ac:dyDescent="0.25">
      <c r="A155" s="79"/>
      <c r="B155" s="79"/>
      <c r="C155" s="79"/>
      <c r="D155" s="79"/>
      <c r="E155" s="79"/>
      <c r="F155" s="79"/>
      <c r="G155" s="79"/>
      <c r="H155" s="79"/>
      <c r="I155" s="79"/>
      <c r="J155" s="79"/>
      <c r="K155" s="79"/>
      <c r="L155" s="79"/>
      <c r="M155" s="79"/>
      <c r="N155" s="79"/>
    </row>
    <row r="156" spans="1:14" ht="15.75" customHeight="1" x14ac:dyDescent="0.25">
      <c r="A156" s="79"/>
      <c r="B156" s="79"/>
      <c r="C156" s="79"/>
      <c r="D156" s="79"/>
      <c r="E156" s="79"/>
      <c r="F156" s="79"/>
      <c r="G156" s="79"/>
      <c r="H156" s="79"/>
      <c r="I156" s="79"/>
      <c r="J156" s="79"/>
      <c r="K156" s="79"/>
      <c r="L156" s="79"/>
      <c r="M156" s="79"/>
      <c r="N156" s="79"/>
    </row>
    <row r="157" spans="1:14" ht="15.75" customHeight="1" x14ac:dyDescent="0.25">
      <c r="A157" s="79"/>
      <c r="B157" s="79"/>
      <c r="C157" s="79"/>
      <c r="D157" s="79"/>
      <c r="E157" s="79"/>
      <c r="F157" s="79"/>
      <c r="G157" s="79"/>
      <c r="H157" s="79"/>
      <c r="I157" s="79"/>
      <c r="J157" s="79"/>
      <c r="K157" s="79"/>
      <c r="L157" s="79"/>
      <c r="M157" s="79"/>
      <c r="N157" s="79"/>
    </row>
    <row r="158" spans="1:14" ht="15.75" customHeight="1" x14ac:dyDescent="0.25">
      <c r="A158" s="79"/>
      <c r="B158" s="79"/>
      <c r="C158" s="79"/>
      <c r="D158" s="79"/>
      <c r="E158" s="79"/>
      <c r="F158" s="79"/>
      <c r="G158" s="79"/>
      <c r="H158" s="79"/>
      <c r="I158" s="79"/>
      <c r="J158" s="79"/>
      <c r="K158" s="79"/>
      <c r="L158" s="79"/>
      <c r="M158" s="79"/>
      <c r="N158" s="79"/>
    </row>
    <row r="159" spans="1:14" ht="15.75" customHeight="1" x14ac:dyDescent="0.25">
      <c r="A159" s="79"/>
      <c r="B159" s="79"/>
      <c r="C159" s="79"/>
      <c r="D159" s="79"/>
      <c r="E159" s="79"/>
      <c r="F159" s="79"/>
      <c r="G159" s="79"/>
      <c r="H159" s="79"/>
      <c r="I159" s="79"/>
      <c r="J159" s="79"/>
      <c r="K159" s="79"/>
      <c r="L159" s="79"/>
      <c r="M159" s="79"/>
      <c r="N159" s="79"/>
    </row>
    <row r="160" spans="1:14" ht="15.75" customHeight="1" x14ac:dyDescent="0.25">
      <c r="A160" s="79"/>
      <c r="B160" s="79"/>
      <c r="C160" s="79"/>
      <c r="D160" s="79"/>
      <c r="E160" s="79"/>
      <c r="F160" s="79"/>
      <c r="G160" s="79"/>
      <c r="H160" s="79"/>
      <c r="I160" s="79"/>
      <c r="J160" s="79"/>
      <c r="K160" s="79"/>
      <c r="L160" s="79"/>
      <c r="M160" s="79"/>
      <c r="N160" s="79"/>
    </row>
    <row r="161" spans="1:14" ht="15.75" customHeight="1" x14ac:dyDescent="0.25">
      <c r="A161" s="79"/>
      <c r="B161" s="79"/>
      <c r="C161" s="79"/>
      <c r="D161" s="79"/>
      <c r="E161" s="79"/>
      <c r="F161" s="79"/>
      <c r="G161" s="79"/>
      <c r="H161" s="79"/>
      <c r="I161" s="79"/>
      <c r="J161" s="79"/>
      <c r="K161" s="79"/>
      <c r="L161" s="79"/>
      <c r="M161" s="79"/>
      <c r="N161" s="79"/>
    </row>
    <row r="162" spans="1:14" ht="15.75" customHeight="1" x14ac:dyDescent="0.25">
      <c r="A162" s="79"/>
      <c r="B162" s="79"/>
      <c r="C162" s="79"/>
      <c r="D162" s="79"/>
      <c r="E162" s="79"/>
      <c r="F162" s="79"/>
      <c r="G162" s="79"/>
      <c r="H162" s="79"/>
      <c r="I162" s="79"/>
      <c r="J162" s="79"/>
      <c r="K162" s="79"/>
      <c r="L162" s="79"/>
      <c r="M162" s="79"/>
      <c r="N162" s="79"/>
    </row>
    <row r="163" spans="1:14" ht="15.75" customHeight="1" x14ac:dyDescent="0.25">
      <c r="A163" s="79"/>
      <c r="B163" s="79"/>
      <c r="C163" s="79"/>
      <c r="D163" s="79"/>
      <c r="E163" s="79"/>
      <c r="F163" s="79"/>
      <c r="G163" s="79"/>
      <c r="H163" s="79"/>
      <c r="I163" s="79"/>
      <c r="J163" s="79"/>
      <c r="K163" s="79"/>
      <c r="L163" s="79"/>
      <c r="M163" s="79"/>
      <c r="N163" s="79"/>
    </row>
    <row r="164" spans="1:14" ht="15.75" customHeight="1" x14ac:dyDescent="0.25">
      <c r="A164" s="79"/>
      <c r="B164" s="79"/>
      <c r="C164" s="79"/>
      <c r="D164" s="79"/>
      <c r="E164" s="79"/>
      <c r="F164" s="79"/>
      <c r="G164" s="79"/>
      <c r="H164" s="79"/>
      <c r="I164" s="79"/>
      <c r="J164" s="79"/>
      <c r="K164" s="79"/>
      <c r="L164" s="79"/>
      <c r="M164" s="79"/>
      <c r="N164" s="79"/>
    </row>
    <row r="165" spans="1:14" ht="15.75" customHeight="1" x14ac:dyDescent="0.25">
      <c r="A165" s="79"/>
      <c r="B165" s="79"/>
      <c r="C165" s="79"/>
      <c r="D165" s="79"/>
      <c r="E165" s="79"/>
      <c r="F165" s="79"/>
      <c r="G165" s="79"/>
      <c r="H165" s="79"/>
      <c r="I165" s="79"/>
      <c r="J165" s="79"/>
      <c r="K165" s="79"/>
      <c r="L165" s="79"/>
      <c r="M165" s="79"/>
      <c r="N165" s="79"/>
    </row>
    <row r="166" spans="1:14" ht="15.75" customHeight="1" x14ac:dyDescent="0.25">
      <c r="A166" s="79"/>
      <c r="B166" s="79"/>
      <c r="C166" s="79"/>
      <c r="D166" s="79"/>
      <c r="E166" s="79"/>
      <c r="F166" s="79"/>
      <c r="G166" s="79"/>
      <c r="H166" s="79"/>
      <c r="I166" s="79"/>
      <c r="J166" s="79"/>
      <c r="K166" s="79"/>
      <c r="L166" s="79"/>
      <c r="M166" s="79"/>
      <c r="N166" s="79"/>
    </row>
    <row r="167" spans="1:14" ht="15.75" customHeight="1" x14ac:dyDescent="0.25">
      <c r="A167" s="79"/>
      <c r="B167" s="79"/>
      <c r="C167" s="79"/>
      <c r="D167" s="79"/>
      <c r="E167" s="79"/>
      <c r="F167" s="79"/>
      <c r="G167" s="79"/>
      <c r="H167" s="79"/>
      <c r="I167" s="79"/>
      <c r="J167" s="79"/>
      <c r="K167" s="79"/>
      <c r="L167" s="79"/>
      <c r="M167" s="79"/>
      <c r="N167" s="79"/>
    </row>
    <row r="168" spans="1:14" ht="15.75" customHeight="1" x14ac:dyDescent="0.25">
      <c r="A168" s="79"/>
      <c r="B168" s="79"/>
      <c r="C168" s="79"/>
      <c r="D168" s="79"/>
      <c r="E168" s="79"/>
      <c r="F168" s="79"/>
      <c r="G168" s="79"/>
      <c r="H168" s="79"/>
      <c r="I168" s="79"/>
      <c r="J168" s="79"/>
      <c r="K168" s="79"/>
      <c r="L168" s="79"/>
      <c r="M168" s="79"/>
      <c r="N168" s="79"/>
    </row>
    <row r="169" spans="1:14" ht="15.75" customHeight="1" x14ac:dyDescent="0.25">
      <c r="A169" s="79"/>
      <c r="B169" s="79"/>
      <c r="C169" s="79"/>
      <c r="D169" s="79"/>
      <c r="E169" s="79"/>
      <c r="F169" s="79"/>
      <c r="G169" s="79"/>
      <c r="H169" s="79"/>
      <c r="I169" s="79"/>
      <c r="J169" s="79"/>
      <c r="K169" s="79"/>
      <c r="L169" s="79"/>
      <c r="M169" s="79"/>
      <c r="N169" s="79"/>
    </row>
    <row r="170" spans="1:14" ht="15.75" customHeight="1" x14ac:dyDescent="0.25">
      <c r="A170" s="79"/>
      <c r="B170" s="79"/>
      <c r="C170" s="79"/>
      <c r="D170" s="79"/>
      <c r="E170" s="79"/>
      <c r="F170" s="79"/>
      <c r="G170" s="79"/>
      <c r="H170" s="79"/>
      <c r="I170" s="79"/>
      <c r="J170" s="79"/>
      <c r="K170" s="79"/>
      <c r="L170" s="79"/>
      <c r="M170" s="79"/>
      <c r="N170" s="79"/>
    </row>
    <row r="171" spans="1:14" ht="15.75" customHeight="1" x14ac:dyDescent="0.25">
      <c r="A171" s="79"/>
      <c r="B171" s="79"/>
      <c r="C171" s="79"/>
      <c r="D171" s="79"/>
      <c r="E171" s="79"/>
      <c r="F171" s="79"/>
      <c r="G171" s="79"/>
      <c r="H171" s="79"/>
      <c r="I171" s="79"/>
      <c r="J171" s="79"/>
      <c r="K171" s="79"/>
      <c r="L171" s="79"/>
      <c r="M171" s="79"/>
      <c r="N171" s="79"/>
    </row>
    <row r="172" spans="1:14" ht="15.75" customHeight="1" x14ac:dyDescent="0.25">
      <c r="A172" s="79"/>
      <c r="B172" s="79"/>
      <c r="C172" s="79"/>
      <c r="D172" s="79"/>
      <c r="E172" s="79"/>
      <c r="F172" s="79"/>
      <c r="G172" s="79"/>
      <c r="H172" s="79"/>
      <c r="I172" s="79"/>
      <c r="J172" s="79"/>
      <c r="K172" s="79"/>
      <c r="L172" s="79"/>
      <c r="M172" s="79"/>
      <c r="N172" s="79"/>
    </row>
    <row r="173" spans="1:14" ht="15.75" customHeight="1" x14ac:dyDescent="0.25">
      <c r="A173" s="79"/>
      <c r="B173" s="79"/>
      <c r="C173" s="79"/>
      <c r="D173" s="79"/>
      <c r="E173" s="79"/>
      <c r="F173" s="79"/>
      <c r="G173" s="79"/>
      <c r="H173" s="79"/>
      <c r="I173" s="79"/>
      <c r="J173" s="79"/>
      <c r="K173" s="79"/>
      <c r="L173" s="79"/>
      <c r="M173" s="79"/>
      <c r="N173" s="79"/>
    </row>
    <row r="174" spans="1:14" ht="15.75" customHeight="1" x14ac:dyDescent="0.25">
      <c r="A174" s="79"/>
      <c r="B174" s="79"/>
      <c r="C174" s="79"/>
      <c r="D174" s="79"/>
      <c r="E174" s="79"/>
      <c r="F174" s="79"/>
      <c r="G174" s="79"/>
      <c r="H174" s="79"/>
      <c r="I174" s="79"/>
      <c r="J174" s="79"/>
      <c r="K174" s="79"/>
      <c r="L174" s="79"/>
      <c r="M174" s="79"/>
      <c r="N174" s="79"/>
    </row>
    <row r="175" spans="1:14" ht="15.75" customHeight="1" x14ac:dyDescent="0.25">
      <c r="A175" s="79"/>
      <c r="B175" s="79"/>
      <c r="C175" s="79"/>
      <c r="D175" s="79"/>
      <c r="E175" s="79"/>
      <c r="F175" s="79"/>
      <c r="G175" s="79"/>
      <c r="H175" s="79"/>
      <c r="I175" s="79"/>
      <c r="J175" s="79"/>
      <c r="K175" s="79"/>
      <c r="L175" s="79"/>
      <c r="M175" s="79"/>
      <c r="N175" s="79"/>
    </row>
    <row r="176" spans="1:14" ht="15.75" customHeight="1" x14ac:dyDescent="0.25">
      <c r="A176" s="79"/>
      <c r="B176" s="79"/>
      <c r="C176" s="79"/>
      <c r="D176" s="79"/>
      <c r="E176" s="79"/>
      <c r="F176" s="79"/>
      <c r="G176" s="79"/>
      <c r="H176" s="79"/>
      <c r="I176" s="79"/>
      <c r="J176" s="79"/>
      <c r="K176" s="79"/>
      <c r="L176" s="79"/>
      <c r="M176" s="79"/>
      <c r="N176" s="79"/>
    </row>
    <row r="177" spans="1:14" ht="15.75" customHeight="1" x14ac:dyDescent="0.25">
      <c r="A177" s="79"/>
      <c r="B177" s="79"/>
      <c r="C177" s="79"/>
      <c r="D177" s="79"/>
      <c r="E177" s="79"/>
      <c r="F177" s="79"/>
      <c r="G177" s="79"/>
      <c r="H177" s="79"/>
      <c r="I177" s="79"/>
      <c r="J177" s="79"/>
      <c r="K177" s="79"/>
      <c r="L177" s="79"/>
      <c r="M177" s="79"/>
      <c r="N177" s="79"/>
    </row>
    <row r="178" spans="1:14" ht="15.75" customHeight="1" x14ac:dyDescent="0.25">
      <c r="A178" s="79"/>
      <c r="B178" s="79"/>
      <c r="C178" s="79"/>
      <c r="D178" s="79"/>
      <c r="E178" s="79"/>
      <c r="F178" s="79"/>
      <c r="G178" s="79"/>
      <c r="H178" s="79"/>
      <c r="I178" s="79"/>
      <c r="J178" s="79"/>
      <c r="K178" s="79"/>
      <c r="L178" s="79"/>
      <c r="M178" s="79"/>
      <c r="N178" s="79"/>
    </row>
    <row r="179" spans="1:14" ht="15.75" customHeight="1" x14ac:dyDescent="0.25">
      <c r="A179" s="79"/>
      <c r="B179" s="79"/>
      <c r="C179" s="79"/>
      <c r="D179" s="79"/>
      <c r="E179" s="79"/>
      <c r="F179" s="79"/>
      <c r="G179" s="79"/>
      <c r="H179" s="79"/>
      <c r="I179" s="79"/>
      <c r="J179" s="79"/>
      <c r="K179" s="79"/>
      <c r="L179" s="79"/>
      <c r="M179" s="79"/>
      <c r="N179" s="79"/>
    </row>
    <row r="180" spans="1:14" ht="15.75" customHeight="1" x14ac:dyDescent="0.25">
      <c r="A180" s="79"/>
      <c r="B180" s="79"/>
      <c r="C180" s="79"/>
      <c r="D180" s="79"/>
      <c r="E180" s="79"/>
      <c r="F180" s="79"/>
      <c r="G180" s="79"/>
      <c r="H180" s="79"/>
      <c r="I180" s="79"/>
      <c r="J180" s="79"/>
      <c r="K180" s="79"/>
      <c r="L180" s="79"/>
      <c r="M180" s="79"/>
      <c r="N180" s="79"/>
    </row>
    <row r="181" spans="1:14" ht="15.75" customHeight="1" x14ac:dyDescent="0.25">
      <c r="A181" s="79"/>
      <c r="B181" s="79"/>
      <c r="C181" s="79"/>
      <c r="D181" s="79"/>
      <c r="E181" s="79"/>
      <c r="F181" s="79"/>
      <c r="G181" s="79"/>
      <c r="H181" s="79"/>
      <c r="I181" s="79"/>
      <c r="J181" s="79"/>
      <c r="K181" s="79"/>
      <c r="L181" s="79"/>
      <c r="M181" s="79"/>
      <c r="N181" s="79"/>
    </row>
    <row r="182" spans="1:14" ht="15.75" customHeight="1" x14ac:dyDescent="0.25">
      <c r="A182" s="79"/>
      <c r="B182" s="79"/>
      <c r="C182" s="79"/>
      <c r="D182" s="79"/>
      <c r="E182" s="79"/>
      <c r="F182" s="79"/>
      <c r="G182" s="79"/>
      <c r="H182" s="79"/>
      <c r="I182" s="79"/>
      <c r="J182" s="79"/>
      <c r="K182" s="79"/>
      <c r="L182" s="79"/>
      <c r="M182" s="79"/>
      <c r="N182" s="79"/>
    </row>
    <row r="183" spans="1:14" ht="15.75" customHeight="1" x14ac:dyDescent="0.25">
      <c r="A183" s="79"/>
      <c r="B183" s="79"/>
      <c r="C183" s="79"/>
      <c r="D183" s="79"/>
      <c r="E183" s="79"/>
      <c r="F183" s="79"/>
      <c r="G183" s="79"/>
      <c r="H183" s="79"/>
      <c r="I183" s="79"/>
      <c r="J183" s="79"/>
      <c r="K183" s="79"/>
      <c r="L183" s="79"/>
      <c r="M183" s="79"/>
      <c r="N183" s="79"/>
    </row>
    <row r="184" spans="1:14" ht="15.75" customHeight="1" x14ac:dyDescent="0.25">
      <c r="A184" s="79"/>
      <c r="B184" s="79"/>
      <c r="C184" s="79"/>
      <c r="D184" s="79"/>
      <c r="E184" s="79"/>
      <c r="F184" s="79"/>
      <c r="G184" s="79"/>
      <c r="H184" s="79"/>
      <c r="I184" s="79"/>
      <c r="J184" s="79"/>
      <c r="K184" s="79"/>
      <c r="L184" s="79"/>
      <c r="M184" s="79"/>
      <c r="N184" s="79"/>
    </row>
    <row r="185" spans="1:14" ht="15.75" customHeight="1" x14ac:dyDescent="0.25">
      <c r="A185" s="79"/>
      <c r="B185" s="79"/>
      <c r="C185" s="79"/>
      <c r="D185" s="79"/>
      <c r="E185" s="79"/>
      <c r="F185" s="79"/>
      <c r="G185" s="79"/>
      <c r="H185" s="79"/>
      <c r="I185" s="79"/>
      <c r="J185" s="79"/>
      <c r="K185" s="79"/>
      <c r="L185" s="79"/>
      <c r="M185" s="79"/>
      <c r="N185" s="79"/>
    </row>
    <row r="186" spans="1:14" ht="15.75" customHeight="1" x14ac:dyDescent="0.25">
      <c r="A186" s="79"/>
      <c r="B186" s="79"/>
      <c r="C186" s="79"/>
      <c r="D186" s="79"/>
      <c r="E186" s="79"/>
      <c r="F186" s="79"/>
      <c r="G186" s="79"/>
      <c r="H186" s="79"/>
      <c r="I186" s="79"/>
      <c r="J186" s="79"/>
      <c r="K186" s="79"/>
      <c r="L186" s="79"/>
      <c r="M186" s="79"/>
      <c r="N186" s="79"/>
    </row>
    <row r="187" spans="1:14" ht="15.75" customHeight="1" x14ac:dyDescent="0.25">
      <c r="A187" s="79"/>
      <c r="B187" s="79"/>
      <c r="C187" s="79"/>
      <c r="D187" s="79"/>
      <c r="E187" s="79"/>
      <c r="F187" s="79"/>
      <c r="G187" s="79"/>
      <c r="H187" s="79"/>
      <c r="I187" s="79"/>
      <c r="J187" s="79"/>
      <c r="K187" s="79"/>
      <c r="L187" s="79"/>
      <c r="M187" s="79"/>
      <c r="N187" s="79"/>
    </row>
    <row r="188" spans="1:14" ht="15.75" customHeight="1" x14ac:dyDescent="0.25">
      <c r="A188" s="79"/>
      <c r="B188" s="79"/>
      <c r="C188" s="79"/>
      <c r="D188" s="79"/>
      <c r="E188" s="79"/>
      <c r="F188" s="79"/>
      <c r="G188" s="79"/>
      <c r="H188" s="79"/>
      <c r="I188" s="79"/>
      <c r="J188" s="79"/>
      <c r="K188" s="79"/>
      <c r="L188" s="79"/>
      <c r="M188" s="79"/>
      <c r="N188" s="79"/>
    </row>
    <row r="189" spans="1:14" ht="15.75" customHeight="1" x14ac:dyDescent="0.25">
      <c r="A189" s="79"/>
      <c r="B189" s="79"/>
      <c r="C189" s="79"/>
      <c r="D189" s="79"/>
      <c r="E189" s="79"/>
      <c r="F189" s="79"/>
      <c r="G189" s="79"/>
      <c r="H189" s="79"/>
      <c r="I189" s="79"/>
      <c r="J189" s="79"/>
      <c r="K189" s="79"/>
      <c r="L189" s="79"/>
      <c r="M189" s="79"/>
      <c r="N189" s="79"/>
    </row>
    <row r="190" spans="1:14" ht="15.75" customHeight="1" x14ac:dyDescent="0.25">
      <c r="A190" s="79"/>
      <c r="B190" s="79"/>
      <c r="C190" s="79"/>
      <c r="D190" s="79"/>
      <c r="E190" s="79"/>
      <c r="F190" s="79"/>
      <c r="G190" s="79"/>
      <c r="H190" s="79"/>
      <c r="I190" s="79"/>
      <c r="J190" s="79"/>
      <c r="K190" s="79"/>
      <c r="L190" s="79"/>
      <c r="M190" s="79"/>
      <c r="N190" s="79"/>
    </row>
    <row r="191" spans="1:14" ht="15.75" customHeight="1" x14ac:dyDescent="0.25">
      <c r="A191" s="79"/>
      <c r="B191" s="79"/>
      <c r="C191" s="79"/>
      <c r="D191" s="79"/>
      <c r="E191" s="79"/>
      <c r="F191" s="79"/>
      <c r="G191" s="79"/>
      <c r="H191" s="79"/>
      <c r="I191" s="79"/>
      <c r="J191" s="79"/>
      <c r="K191" s="79"/>
      <c r="L191" s="79"/>
      <c r="M191" s="79"/>
      <c r="N191" s="79"/>
    </row>
    <row r="192" spans="1:14" ht="15.75" customHeight="1" x14ac:dyDescent="0.25">
      <c r="A192" s="79"/>
      <c r="B192" s="79"/>
      <c r="C192" s="79"/>
      <c r="D192" s="79"/>
      <c r="E192" s="79"/>
      <c r="F192" s="79"/>
      <c r="G192" s="79"/>
      <c r="H192" s="79"/>
      <c r="I192" s="79"/>
      <c r="J192" s="79"/>
      <c r="K192" s="79"/>
      <c r="L192" s="79"/>
      <c r="M192" s="79"/>
      <c r="N192" s="79"/>
    </row>
    <row r="193" spans="1:14" ht="15.75" customHeight="1" x14ac:dyDescent="0.25">
      <c r="A193" s="79"/>
      <c r="B193" s="79"/>
      <c r="C193" s="79"/>
      <c r="D193" s="79"/>
      <c r="E193" s="79"/>
      <c r="F193" s="79"/>
      <c r="G193" s="79"/>
      <c r="H193" s="79"/>
      <c r="I193" s="79"/>
      <c r="J193" s="79"/>
      <c r="K193" s="79"/>
      <c r="L193" s="79"/>
      <c r="M193" s="79"/>
      <c r="N193" s="79"/>
    </row>
    <row r="194" spans="1:14" ht="15.75" customHeight="1" x14ac:dyDescent="0.25">
      <c r="A194" s="79"/>
      <c r="B194" s="79"/>
      <c r="C194" s="79"/>
      <c r="D194" s="79"/>
      <c r="E194" s="79"/>
      <c r="F194" s="79"/>
      <c r="G194" s="79"/>
      <c r="H194" s="79"/>
      <c r="I194" s="79"/>
      <c r="J194" s="79"/>
      <c r="K194" s="79"/>
      <c r="L194" s="79"/>
      <c r="M194" s="79"/>
      <c r="N194" s="79"/>
    </row>
    <row r="195" spans="1:14" ht="15.75" customHeight="1" x14ac:dyDescent="0.25">
      <c r="A195" s="79"/>
      <c r="B195" s="79"/>
      <c r="C195" s="79"/>
      <c r="D195" s="79"/>
      <c r="E195" s="79"/>
      <c r="F195" s="79"/>
      <c r="G195" s="79"/>
      <c r="H195" s="79"/>
      <c r="I195" s="79"/>
      <c r="J195" s="79"/>
      <c r="K195" s="79"/>
      <c r="L195" s="79"/>
      <c r="M195" s="79"/>
      <c r="N195" s="79"/>
    </row>
    <row r="196" spans="1:14" ht="15.75" customHeight="1" x14ac:dyDescent="0.25">
      <c r="A196" s="79"/>
      <c r="B196" s="79"/>
      <c r="C196" s="79"/>
      <c r="D196" s="79"/>
      <c r="E196" s="79"/>
      <c r="F196" s="79"/>
      <c r="G196" s="79"/>
      <c r="H196" s="79"/>
      <c r="I196" s="79"/>
      <c r="J196" s="79"/>
      <c r="K196" s="79"/>
      <c r="L196" s="79"/>
      <c r="M196" s="79"/>
      <c r="N196" s="79"/>
    </row>
    <row r="197" spans="1:14" ht="15.75" customHeight="1" x14ac:dyDescent="0.25">
      <c r="A197" s="79"/>
      <c r="B197" s="79"/>
      <c r="C197" s="79"/>
      <c r="D197" s="79"/>
      <c r="E197" s="79"/>
      <c r="F197" s="79"/>
      <c r="G197" s="79"/>
      <c r="H197" s="79"/>
      <c r="I197" s="79"/>
      <c r="J197" s="79"/>
      <c r="K197" s="79"/>
      <c r="L197" s="79"/>
      <c r="M197" s="79"/>
      <c r="N197" s="79"/>
    </row>
    <row r="198" spans="1:14" ht="15.75" customHeight="1" x14ac:dyDescent="0.25">
      <c r="A198" s="79"/>
      <c r="B198" s="79"/>
      <c r="C198" s="79"/>
      <c r="D198" s="79"/>
      <c r="E198" s="79"/>
      <c r="F198" s="79"/>
      <c r="G198" s="79"/>
      <c r="H198" s="79"/>
      <c r="I198" s="79"/>
      <c r="J198" s="79"/>
      <c r="K198" s="79"/>
      <c r="L198" s="79"/>
      <c r="M198" s="79"/>
      <c r="N198" s="79"/>
    </row>
    <row r="199" spans="1:14" ht="15.75" customHeight="1" x14ac:dyDescent="0.25">
      <c r="A199" s="79"/>
      <c r="B199" s="79"/>
      <c r="C199" s="79"/>
      <c r="D199" s="79"/>
      <c r="E199" s="79"/>
      <c r="F199" s="79"/>
      <c r="G199" s="79"/>
      <c r="H199" s="79"/>
      <c r="I199" s="79"/>
      <c r="J199" s="79"/>
      <c r="K199" s="79"/>
      <c r="L199" s="79"/>
      <c r="M199" s="79"/>
      <c r="N199" s="79"/>
    </row>
    <row r="200" spans="1:14" ht="15.75" customHeight="1" x14ac:dyDescent="0.25">
      <c r="A200" s="79"/>
      <c r="B200" s="79"/>
      <c r="C200" s="79"/>
      <c r="D200" s="79"/>
      <c r="E200" s="79"/>
      <c r="F200" s="79"/>
      <c r="G200" s="79"/>
      <c r="H200" s="79"/>
      <c r="I200" s="79"/>
      <c r="J200" s="79"/>
      <c r="K200" s="79"/>
      <c r="L200" s="79"/>
      <c r="M200" s="79"/>
      <c r="N200" s="79"/>
    </row>
    <row r="201" spans="1:14" ht="15.75" customHeight="1" x14ac:dyDescent="0.25">
      <c r="A201" s="79"/>
      <c r="B201" s="79"/>
      <c r="C201" s="79"/>
      <c r="D201" s="79"/>
      <c r="E201" s="79"/>
      <c r="F201" s="79"/>
      <c r="G201" s="79"/>
      <c r="H201" s="79"/>
      <c r="I201" s="79"/>
      <c r="J201" s="79"/>
      <c r="K201" s="79"/>
      <c r="L201" s="79"/>
      <c r="M201" s="79"/>
      <c r="N201" s="79"/>
    </row>
    <row r="202" spans="1:14" ht="15.75" customHeight="1" x14ac:dyDescent="0.25">
      <c r="A202" s="79"/>
      <c r="B202" s="79"/>
      <c r="C202" s="79"/>
      <c r="D202" s="79"/>
      <c r="E202" s="79"/>
      <c r="F202" s="79"/>
      <c r="G202" s="79"/>
      <c r="H202" s="79"/>
      <c r="I202" s="79"/>
      <c r="J202" s="79"/>
      <c r="K202" s="79"/>
      <c r="L202" s="79"/>
      <c r="M202" s="79"/>
      <c r="N202" s="79"/>
    </row>
    <row r="203" spans="1:14" ht="15.75" customHeight="1" x14ac:dyDescent="0.25">
      <c r="A203" s="79"/>
      <c r="B203" s="79"/>
      <c r="C203" s="79"/>
      <c r="D203" s="79"/>
      <c r="E203" s="79"/>
      <c r="F203" s="79"/>
      <c r="G203" s="79"/>
      <c r="H203" s="79"/>
      <c r="I203" s="79"/>
      <c r="J203" s="79"/>
      <c r="K203" s="79"/>
      <c r="L203" s="79"/>
      <c r="M203" s="79"/>
      <c r="N203" s="79"/>
    </row>
    <row r="204" spans="1:14" ht="15.75" customHeight="1" x14ac:dyDescent="0.25">
      <c r="A204" s="79"/>
      <c r="B204" s="79"/>
      <c r="C204" s="79"/>
      <c r="D204" s="79"/>
      <c r="E204" s="79"/>
      <c r="F204" s="79"/>
      <c r="G204" s="79"/>
      <c r="H204" s="79"/>
      <c r="I204" s="79"/>
      <c r="J204" s="79"/>
      <c r="K204" s="79"/>
      <c r="L204" s="79"/>
      <c r="M204" s="79"/>
      <c r="N204" s="79"/>
    </row>
    <row r="205" spans="1:14" ht="15.75" customHeight="1" x14ac:dyDescent="0.25">
      <c r="A205" s="79"/>
      <c r="B205" s="79"/>
      <c r="C205" s="79"/>
      <c r="D205" s="79"/>
      <c r="E205" s="79"/>
      <c r="F205" s="79"/>
      <c r="G205" s="79"/>
      <c r="H205" s="79"/>
      <c r="I205" s="79"/>
      <c r="J205" s="79"/>
      <c r="K205" s="79"/>
      <c r="L205" s="79"/>
      <c r="M205" s="79"/>
      <c r="N205" s="79"/>
    </row>
    <row r="206" spans="1:14" ht="15.75" customHeight="1" x14ac:dyDescent="0.25">
      <c r="A206" s="79"/>
      <c r="B206" s="79"/>
      <c r="C206" s="79"/>
      <c r="D206" s="79"/>
      <c r="E206" s="79"/>
      <c r="F206" s="79"/>
      <c r="G206" s="79"/>
      <c r="H206" s="79"/>
      <c r="I206" s="79"/>
      <c r="J206" s="79"/>
      <c r="K206" s="79"/>
      <c r="L206" s="79"/>
      <c r="M206" s="79"/>
      <c r="N206" s="79"/>
    </row>
    <row r="207" spans="1:14" ht="15.75" customHeight="1" x14ac:dyDescent="0.25">
      <c r="A207" s="79"/>
      <c r="B207" s="79"/>
      <c r="C207" s="79"/>
      <c r="D207" s="79"/>
      <c r="E207" s="79"/>
      <c r="F207" s="79"/>
      <c r="G207" s="79"/>
      <c r="H207" s="79"/>
      <c r="I207" s="79"/>
      <c r="J207" s="79"/>
      <c r="K207" s="79"/>
      <c r="L207" s="79"/>
      <c r="M207" s="79"/>
      <c r="N207" s="79"/>
    </row>
    <row r="208" spans="1:14" ht="15.75" customHeight="1" x14ac:dyDescent="0.25">
      <c r="A208" s="79"/>
      <c r="B208" s="79"/>
      <c r="C208" s="79"/>
      <c r="D208" s="79"/>
      <c r="E208" s="79"/>
      <c r="F208" s="79"/>
      <c r="G208" s="79"/>
      <c r="H208" s="79"/>
      <c r="I208" s="79"/>
      <c r="J208" s="79"/>
      <c r="K208" s="79"/>
      <c r="L208" s="79"/>
      <c r="M208" s="79"/>
      <c r="N208" s="79"/>
    </row>
    <row r="209" spans="1:14" ht="15.75" customHeight="1" x14ac:dyDescent="0.25">
      <c r="A209" s="79"/>
      <c r="B209" s="79"/>
      <c r="C209" s="79"/>
      <c r="D209" s="79"/>
      <c r="E209" s="79"/>
      <c r="F209" s="79"/>
      <c r="G209" s="79"/>
      <c r="H209" s="79"/>
      <c r="I209" s="79"/>
      <c r="J209" s="79"/>
      <c r="K209" s="79"/>
      <c r="L209" s="79"/>
      <c r="M209" s="79"/>
      <c r="N209" s="79"/>
    </row>
    <row r="210" spans="1:14" ht="15.75" customHeight="1" x14ac:dyDescent="0.25">
      <c r="A210" s="79"/>
      <c r="B210" s="79"/>
      <c r="C210" s="79"/>
      <c r="D210" s="79"/>
      <c r="E210" s="79"/>
      <c r="F210" s="79"/>
      <c r="G210" s="79"/>
      <c r="H210" s="79"/>
      <c r="I210" s="79"/>
      <c r="J210" s="79"/>
      <c r="K210" s="79"/>
      <c r="L210" s="79"/>
      <c r="M210" s="79"/>
      <c r="N210" s="79"/>
    </row>
    <row r="211" spans="1:14" ht="15.75" customHeight="1" x14ac:dyDescent="0.25">
      <c r="A211" s="79"/>
      <c r="B211" s="79"/>
      <c r="C211" s="79"/>
      <c r="D211" s="79"/>
      <c r="E211" s="79"/>
      <c r="F211" s="79"/>
      <c r="G211" s="79"/>
      <c r="H211" s="79"/>
      <c r="I211" s="79"/>
      <c r="J211" s="79"/>
      <c r="K211" s="79"/>
      <c r="L211" s="79"/>
      <c r="M211" s="79"/>
      <c r="N211" s="79"/>
    </row>
    <row r="212" spans="1:14" ht="15.75" customHeight="1" x14ac:dyDescent="0.25">
      <c r="A212" s="79"/>
      <c r="B212" s="79"/>
      <c r="C212" s="79"/>
      <c r="D212" s="79"/>
      <c r="E212" s="79"/>
      <c r="F212" s="79"/>
      <c r="G212" s="79"/>
      <c r="H212" s="79"/>
      <c r="I212" s="79"/>
      <c r="J212" s="79"/>
      <c r="K212" s="79"/>
      <c r="L212" s="79"/>
      <c r="M212" s="79"/>
      <c r="N212" s="79"/>
    </row>
    <row r="213" spans="1:14" ht="15.75" customHeight="1" x14ac:dyDescent="0.25">
      <c r="A213" s="79"/>
      <c r="B213" s="79"/>
      <c r="C213" s="79"/>
      <c r="D213" s="79"/>
      <c r="E213" s="79"/>
      <c r="F213" s="79"/>
      <c r="G213" s="79"/>
      <c r="H213" s="79"/>
      <c r="I213" s="79"/>
      <c r="J213" s="79"/>
      <c r="K213" s="79"/>
      <c r="L213" s="79"/>
      <c r="M213" s="79"/>
      <c r="N213" s="79"/>
    </row>
    <row r="214" spans="1:14" ht="15.75" customHeight="1" x14ac:dyDescent="0.25">
      <c r="A214" s="79"/>
      <c r="B214" s="79"/>
      <c r="C214" s="79"/>
      <c r="D214" s="79"/>
      <c r="E214" s="79"/>
      <c r="F214" s="79"/>
      <c r="G214" s="79"/>
      <c r="H214" s="79"/>
      <c r="I214" s="79"/>
      <c r="J214" s="79"/>
      <c r="K214" s="79"/>
      <c r="L214" s="79"/>
      <c r="M214" s="79"/>
      <c r="N214" s="79"/>
    </row>
    <row r="215" spans="1:14" ht="15.75" customHeight="1" x14ac:dyDescent="0.25">
      <c r="A215" s="79"/>
      <c r="B215" s="79"/>
      <c r="C215" s="79"/>
      <c r="D215" s="79"/>
      <c r="E215" s="79"/>
      <c r="F215" s="79"/>
      <c r="G215" s="79"/>
      <c r="H215" s="79"/>
      <c r="I215" s="79"/>
      <c r="J215" s="79"/>
      <c r="K215" s="79"/>
      <c r="L215" s="79"/>
      <c r="M215" s="79"/>
      <c r="N215" s="79"/>
    </row>
    <row r="216" spans="1:14" ht="15.75" customHeight="1" x14ac:dyDescent="0.25">
      <c r="A216" s="79"/>
      <c r="B216" s="79"/>
      <c r="C216" s="79"/>
      <c r="D216" s="79"/>
      <c r="E216" s="79"/>
      <c r="F216" s="79"/>
      <c r="G216" s="79"/>
      <c r="H216" s="79"/>
      <c r="I216" s="79"/>
      <c r="J216" s="79"/>
      <c r="K216" s="79"/>
      <c r="L216" s="79"/>
      <c r="M216" s="79"/>
      <c r="N216" s="79"/>
    </row>
    <row r="217" spans="1:14" ht="15.75" customHeight="1" x14ac:dyDescent="0.25">
      <c r="A217" s="79"/>
      <c r="B217" s="79"/>
      <c r="C217" s="79"/>
      <c r="D217" s="79"/>
      <c r="E217" s="79"/>
      <c r="F217" s="79"/>
      <c r="G217" s="79"/>
      <c r="H217" s="79"/>
      <c r="I217" s="79"/>
      <c r="J217" s="79"/>
      <c r="K217" s="79"/>
      <c r="L217" s="79"/>
      <c r="M217" s="79"/>
      <c r="N217" s="79"/>
    </row>
    <row r="218" spans="1:14" ht="15.75" customHeight="1" x14ac:dyDescent="0.25">
      <c r="A218" s="79"/>
      <c r="B218" s="79"/>
      <c r="C218" s="79"/>
      <c r="D218" s="79"/>
      <c r="E218" s="79"/>
      <c r="F218" s="79"/>
      <c r="G218" s="79"/>
      <c r="H218" s="79"/>
      <c r="I218" s="79"/>
      <c r="J218" s="79"/>
      <c r="K218" s="79"/>
      <c r="L218" s="79"/>
      <c r="M218" s="79"/>
      <c r="N218" s="79"/>
    </row>
    <row r="219" spans="1:14" ht="15.75" customHeight="1" x14ac:dyDescent="0.25">
      <c r="A219" s="79"/>
      <c r="B219" s="79"/>
      <c r="C219" s="79"/>
      <c r="D219" s="79"/>
      <c r="E219" s="79"/>
      <c r="F219" s="79"/>
      <c r="G219" s="79"/>
      <c r="H219" s="79"/>
      <c r="I219" s="79"/>
      <c r="J219" s="79"/>
      <c r="K219" s="79"/>
      <c r="L219" s="79"/>
      <c r="M219" s="79"/>
      <c r="N219" s="79"/>
    </row>
    <row r="220" spans="1:14" ht="15.75" customHeight="1" x14ac:dyDescent="0.25">
      <c r="A220" s="79"/>
      <c r="B220" s="79"/>
      <c r="C220" s="79"/>
      <c r="D220" s="79"/>
      <c r="E220" s="79"/>
      <c r="F220" s="79"/>
      <c r="G220" s="79"/>
      <c r="H220" s="79"/>
      <c r="I220" s="79"/>
      <c r="J220" s="79"/>
      <c r="K220" s="79"/>
      <c r="L220" s="79"/>
      <c r="M220" s="79"/>
      <c r="N220" s="79"/>
    </row>
    <row r="221" spans="1:14" ht="15.75" customHeight="1" x14ac:dyDescent="0.2"/>
    <row r="222" spans="1:14" ht="15.75" customHeight="1" x14ac:dyDescent="0.2"/>
    <row r="223" spans="1:14" ht="15.75" customHeight="1" x14ac:dyDescent="0.2"/>
    <row r="224" spans="1:1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mergeCells count="3">
    <mergeCell ref="A1:M1"/>
    <mergeCell ref="A9:M9"/>
    <mergeCell ref="N9:Z9"/>
  </mergeCells>
  <pageMargins left="0.511811024" right="0.511811024" top="0.78740157499999996" bottom="0.78740157499999996" header="0" footer="0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7EBC0A"/>
    <outlinePr summaryBelow="0" summaryRight="0"/>
  </sheetPr>
  <dimension ref="A1:Z1000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3" sqref="B3"/>
    </sheetView>
  </sheetViews>
  <sheetFormatPr defaultColWidth="12.5703125" defaultRowHeight="15" customHeight="1" x14ac:dyDescent="0.2"/>
  <cols>
    <col min="1" max="1" width="23.85546875" customWidth="1"/>
    <col min="2" max="2" width="17.85546875" customWidth="1"/>
    <col min="3" max="3" width="15.7109375" customWidth="1"/>
    <col min="4" max="4" width="52.5703125" customWidth="1"/>
    <col min="5" max="5" width="52.7109375" customWidth="1"/>
    <col min="6" max="6" width="20.5703125" customWidth="1"/>
    <col min="7" max="7" width="14.42578125" customWidth="1"/>
  </cols>
  <sheetData>
    <row r="1" spans="1:26" ht="26.25" customHeight="1" x14ac:dyDescent="0.2">
      <c r="B1" s="151" t="s">
        <v>48</v>
      </c>
      <c r="C1" s="123"/>
      <c r="D1" s="123"/>
      <c r="E1" s="123"/>
      <c r="F1" s="124"/>
      <c r="G1" s="94"/>
    </row>
    <row r="2" spans="1:26" x14ac:dyDescent="0.2">
      <c r="A2" s="95" t="s">
        <v>49</v>
      </c>
      <c r="B2" s="96" t="s">
        <v>50</v>
      </c>
      <c r="C2" s="95" t="s">
        <v>51</v>
      </c>
      <c r="D2" s="95" t="s">
        <v>52</v>
      </c>
      <c r="E2" s="95" t="s">
        <v>53</v>
      </c>
      <c r="F2" s="96" t="s">
        <v>54</v>
      </c>
      <c r="G2" s="97"/>
    </row>
    <row r="3" spans="1:26" ht="15.75" customHeight="1" x14ac:dyDescent="0.2">
      <c r="A3" s="98"/>
      <c r="B3" s="152"/>
      <c r="C3" s="153"/>
      <c r="D3" s="153"/>
      <c r="E3" s="153"/>
      <c r="F3" s="154"/>
      <c r="G3" s="99"/>
    </row>
    <row r="4" spans="1:26" ht="15.75" customHeight="1" x14ac:dyDescent="0.2">
      <c r="A4" s="100" t="s">
        <v>55</v>
      </c>
      <c r="B4" s="43"/>
      <c r="C4" s="43"/>
      <c r="D4" s="43"/>
      <c r="E4" s="43"/>
      <c r="F4" s="101"/>
      <c r="G4" s="102"/>
    </row>
    <row r="5" spans="1:26" ht="15.75" customHeight="1" x14ac:dyDescent="0.2">
      <c r="A5" s="100" t="s">
        <v>56</v>
      </c>
      <c r="B5" s="43"/>
      <c r="C5" s="43"/>
      <c r="D5" s="43"/>
      <c r="E5" s="43"/>
      <c r="F5" s="101"/>
      <c r="G5" s="102"/>
    </row>
    <row r="6" spans="1:26" ht="15.75" customHeight="1" x14ac:dyDescent="0.2">
      <c r="A6" s="100" t="s">
        <v>57</v>
      </c>
      <c r="B6" s="43"/>
      <c r="C6" s="43"/>
      <c r="D6" s="43"/>
      <c r="E6" s="43"/>
      <c r="F6" s="101"/>
      <c r="G6" s="102"/>
    </row>
    <row r="7" spans="1:26" ht="15.75" customHeight="1" x14ac:dyDescent="0.2">
      <c r="A7" s="100" t="s">
        <v>58</v>
      </c>
      <c r="B7" s="43"/>
      <c r="C7" s="43"/>
      <c r="D7" s="43"/>
      <c r="E7" s="43"/>
      <c r="F7" s="101"/>
      <c r="G7" s="102"/>
    </row>
    <row r="8" spans="1:26" ht="15.75" customHeight="1" x14ac:dyDescent="0.2">
      <c r="A8" s="100" t="s">
        <v>59</v>
      </c>
      <c r="B8" s="43"/>
      <c r="C8" s="43"/>
      <c r="D8" s="43"/>
      <c r="E8" s="43"/>
      <c r="F8" s="101"/>
      <c r="G8" s="102"/>
    </row>
    <row r="9" spans="1:26" ht="15.75" customHeight="1" x14ac:dyDescent="0.2">
      <c r="A9" s="100" t="s">
        <v>60</v>
      </c>
      <c r="B9" s="43"/>
      <c r="C9" s="43"/>
      <c r="D9" s="43"/>
      <c r="E9" s="43"/>
      <c r="F9" s="101"/>
      <c r="G9" s="102"/>
    </row>
    <row r="10" spans="1:26" ht="15.75" customHeight="1" x14ac:dyDescent="0.2">
      <c r="A10" s="100" t="s">
        <v>61</v>
      </c>
      <c r="B10" s="43"/>
      <c r="C10" s="43"/>
      <c r="D10" s="43"/>
      <c r="E10" s="43"/>
      <c r="F10" s="101"/>
      <c r="G10" s="102"/>
    </row>
    <row r="11" spans="1:26" ht="15.75" customHeight="1" x14ac:dyDescent="0.2">
      <c r="A11" s="100" t="s">
        <v>62</v>
      </c>
      <c r="B11" s="43"/>
      <c r="C11" s="43"/>
      <c r="D11" s="43"/>
      <c r="E11" s="43"/>
      <c r="F11" s="101"/>
      <c r="G11" s="102"/>
    </row>
    <row r="12" spans="1:26" ht="15.75" customHeight="1" x14ac:dyDescent="0.2">
      <c r="A12" s="100" t="s">
        <v>63</v>
      </c>
      <c r="B12" s="103">
        <v>45366</v>
      </c>
      <c r="C12" s="50"/>
      <c r="D12" s="50" t="s">
        <v>64</v>
      </c>
      <c r="E12" s="50"/>
      <c r="F12" s="104">
        <v>100</v>
      </c>
      <c r="G12" s="102"/>
    </row>
    <row r="13" spans="1:26" ht="15.75" customHeight="1" x14ac:dyDescent="0.2">
      <c r="A13" s="100"/>
      <c r="B13" s="103">
        <v>45387</v>
      </c>
      <c r="C13" s="50"/>
      <c r="D13" s="50" t="s">
        <v>64</v>
      </c>
      <c r="E13" s="50"/>
      <c r="F13" s="104"/>
      <c r="G13" s="102"/>
      <c r="H13" s="93"/>
      <c r="I13" s="93"/>
      <c r="J13" s="93"/>
      <c r="K13" s="93"/>
      <c r="L13" s="93"/>
      <c r="M13" s="93"/>
      <c r="N13" s="93"/>
      <c r="O13" s="93"/>
      <c r="P13" s="93"/>
      <c r="Q13" s="93"/>
      <c r="R13" s="93"/>
      <c r="S13" s="93"/>
      <c r="T13" s="93"/>
      <c r="U13" s="93"/>
      <c r="V13" s="93"/>
      <c r="W13" s="93"/>
      <c r="X13" s="93"/>
      <c r="Y13" s="93"/>
      <c r="Z13" s="93"/>
    </row>
    <row r="14" spans="1:26" ht="15.75" customHeight="1" x14ac:dyDescent="0.2">
      <c r="A14" s="100"/>
      <c r="B14" s="103">
        <v>45415</v>
      </c>
      <c r="C14" s="50"/>
      <c r="D14" s="50" t="s">
        <v>65</v>
      </c>
      <c r="E14" s="50"/>
      <c r="F14" s="104"/>
      <c r="G14" s="102"/>
      <c r="H14" s="93"/>
      <c r="I14" s="93"/>
      <c r="J14" s="93"/>
      <c r="K14" s="93"/>
      <c r="L14" s="93"/>
      <c r="M14" s="93"/>
      <c r="N14" s="93"/>
      <c r="O14" s="93"/>
      <c r="P14" s="93"/>
      <c r="Q14" s="93"/>
      <c r="R14" s="93"/>
      <c r="S14" s="93"/>
      <c r="T14" s="93"/>
      <c r="U14" s="93"/>
      <c r="V14" s="93"/>
      <c r="W14" s="93"/>
      <c r="X14" s="93"/>
      <c r="Y14" s="93"/>
      <c r="Z14" s="93"/>
    </row>
    <row r="15" spans="1:26" ht="15.75" customHeight="1" x14ac:dyDescent="0.2">
      <c r="A15" s="100"/>
      <c r="B15" s="103">
        <v>45450</v>
      </c>
      <c r="C15" s="50"/>
      <c r="D15" s="50" t="s">
        <v>64</v>
      </c>
      <c r="E15" s="50"/>
      <c r="F15" s="104"/>
      <c r="G15" s="102"/>
      <c r="H15" s="93"/>
      <c r="I15" s="93"/>
      <c r="J15" s="93"/>
      <c r="K15" s="93"/>
      <c r="L15" s="93"/>
      <c r="M15" s="93"/>
      <c r="N15" s="93"/>
      <c r="O15" s="93"/>
      <c r="P15" s="93"/>
      <c r="Q15" s="93"/>
      <c r="R15" s="93"/>
      <c r="S15" s="93"/>
      <c r="T15" s="93"/>
      <c r="U15" s="93"/>
      <c r="V15" s="93"/>
      <c r="W15" s="93"/>
      <c r="X15" s="93"/>
      <c r="Y15" s="93"/>
      <c r="Z15" s="93"/>
    </row>
    <row r="16" spans="1:26" ht="15.75" customHeight="1" x14ac:dyDescent="0.2">
      <c r="A16" s="100"/>
      <c r="B16" s="103"/>
      <c r="C16" s="50"/>
      <c r="D16" s="50"/>
      <c r="E16" s="50"/>
      <c r="F16" s="104"/>
      <c r="G16" s="102"/>
      <c r="H16" s="93"/>
      <c r="I16" s="93"/>
      <c r="J16" s="93"/>
      <c r="K16" s="93"/>
      <c r="L16" s="93"/>
      <c r="M16" s="93"/>
      <c r="N16" s="93"/>
      <c r="O16" s="93"/>
      <c r="P16" s="93"/>
      <c r="Q16" s="93"/>
      <c r="R16" s="93"/>
      <c r="S16" s="93"/>
      <c r="T16" s="93"/>
      <c r="U16" s="93"/>
      <c r="V16" s="93"/>
      <c r="W16" s="93"/>
      <c r="X16" s="93"/>
      <c r="Y16" s="93"/>
      <c r="Z16" s="93"/>
    </row>
    <row r="17" spans="1:26" ht="15.75" customHeight="1" x14ac:dyDescent="0.2">
      <c r="A17" s="100"/>
      <c r="B17" s="103"/>
      <c r="C17" s="50"/>
      <c r="D17" s="50"/>
      <c r="E17" s="50"/>
      <c r="F17" s="104"/>
      <c r="G17" s="102"/>
      <c r="H17" s="93"/>
      <c r="I17" s="93"/>
      <c r="J17" s="93"/>
      <c r="K17" s="93"/>
      <c r="L17" s="93"/>
      <c r="M17" s="93"/>
      <c r="N17" s="93"/>
      <c r="O17" s="93"/>
      <c r="P17" s="93"/>
      <c r="Q17" s="93"/>
      <c r="R17" s="93"/>
      <c r="S17" s="93"/>
      <c r="T17" s="93"/>
      <c r="U17" s="93"/>
      <c r="V17" s="93"/>
      <c r="W17" s="93"/>
      <c r="X17" s="93"/>
      <c r="Y17" s="93"/>
      <c r="Z17" s="93"/>
    </row>
    <row r="18" spans="1:26" ht="15.75" customHeight="1" x14ac:dyDescent="0.2">
      <c r="A18" s="105" t="s">
        <v>66</v>
      </c>
      <c r="B18" s="106"/>
      <c r="C18" s="106"/>
      <c r="D18" s="106"/>
      <c r="E18" s="106"/>
      <c r="F18" s="104"/>
      <c r="G18" s="107"/>
    </row>
    <row r="19" spans="1:26" ht="15.75" customHeight="1" x14ac:dyDescent="0.2">
      <c r="A19" s="100" t="s">
        <v>67</v>
      </c>
      <c r="B19" s="50"/>
      <c r="C19" s="50"/>
      <c r="D19" s="50"/>
      <c r="E19" s="50"/>
      <c r="F19" s="104"/>
      <c r="G19" s="102"/>
    </row>
    <row r="20" spans="1:26" ht="15.75" customHeight="1" x14ac:dyDescent="0.2">
      <c r="A20" s="105" t="s">
        <v>68</v>
      </c>
      <c r="B20" s="106"/>
      <c r="C20" s="106"/>
      <c r="D20" s="106"/>
      <c r="E20" s="106"/>
      <c r="F20" s="104"/>
      <c r="G20" s="102"/>
    </row>
    <row r="21" spans="1:26" ht="27" customHeight="1" x14ac:dyDescent="0.2">
      <c r="A21" s="108" t="s">
        <v>69</v>
      </c>
      <c r="B21" s="106"/>
      <c r="C21" s="106"/>
      <c r="D21" s="106"/>
      <c r="E21" s="106"/>
      <c r="F21" s="104"/>
      <c r="G21" s="102"/>
    </row>
    <row r="22" spans="1:26" ht="15.75" customHeight="1" x14ac:dyDescent="0.2">
      <c r="A22" s="100" t="s">
        <v>70</v>
      </c>
      <c r="B22" s="50"/>
      <c r="C22" s="50"/>
      <c r="D22" s="50"/>
      <c r="E22" s="50"/>
      <c r="F22" s="104"/>
      <c r="G22" s="102"/>
    </row>
    <row r="23" spans="1:26" ht="15.75" customHeight="1" x14ac:dyDescent="0.2">
      <c r="A23" s="105" t="s">
        <v>71</v>
      </c>
      <c r="B23" s="106"/>
      <c r="C23" s="106"/>
      <c r="D23" s="106"/>
      <c r="E23" s="106"/>
      <c r="F23" s="104"/>
      <c r="G23" s="102"/>
    </row>
    <row r="24" spans="1:26" ht="15.75" customHeight="1" x14ac:dyDescent="0.2">
      <c r="A24" s="109" t="s">
        <v>72</v>
      </c>
      <c r="B24" s="110"/>
      <c r="C24" s="110"/>
      <c r="D24" s="110"/>
      <c r="E24" s="110"/>
      <c r="F24" s="104"/>
      <c r="G24" s="102"/>
    </row>
    <row r="25" spans="1:26" ht="15.75" customHeight="1" x14ac:dyDescent="0.2">
      <c r="A25" s="111" t="s">
        <v>73</v>
      </c>
      <c r="B25" s="112"/>
      <c r="C25" s="106"/>
      <c r="D25" s="106"/>
      <c r="E25" s="106"/>
      <c r="F25" s="104"/>
      <c r="G25" s="102"/>
    </row>
    <row r="26" spans="1:26" ht="15.75" customHeight="1" x14ac:dyDescent="0.2">
      <c r="A26" s="113"/>
      <c r="B26" s="114"/>
      <c r="C26" s="114"/>
      <c r="D26" s="114"/>
      <c r="E26" s="114"/>
      <c r="F26" s="104"/>
      <c r="G26" s="102"/>
    </row>
    <row r="27" spans="1:26" ht="15.75" customHeight="1" x14ac:dyDescent="0.2">
      <c r="B27" s="115"/>
      <c r="C27" s="115"/>
      <c r="D27" s="115"/>
      <c r="E27" s="115"/>
      <c r="F27" s="115"/>
    </row>
    <row r="28" spans="1:26" ht="15.75" customHeight="1" x14ac:dyDescent="0.2">
      <c r="B28" s="115"/>
      <c r="C28" s="115"/>
      <c r="D28" s="115"/>
      <c r="E28" s="115"/>
      <c r="F28" s="115"/>
    </row>
    <row r="29" spans="1:26" ht="15.75" customHeight="1" x14ac:dyDescent="0.2"/>
    <row r="30" spans="1:26" ht="15.75" customHeight="1" x14ac:dyDescent="0.2"/>
    <row r="31" spans="1:26" ht="15.75" customHeight="1" x14ac:dyDescent="0.2"/>
    <row r="32" spans="1:26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mergeCells count="2">
    <mergeCell ref="B1:F1"/>
    <mergeCell ref="B3:F3"/>
  </mergeCells>
  <pageMargins left="0.511811024" right="0.511811024" top="0.78740157499999996" bottom="0.78740157499999996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CAPA Explicações</vt:lpstr>
      <vt:lpstr>Fluxo de caixa 2024</vt:lpstr>
      <vt:lpstr>Fluxo de caixa 2025</vt:lpstr>
      <vt:lpstr>TaxaCondominio</vt:lpstr>
      <vt:lpstr>Manutenções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David Melo</cp:lastModifiedBy>
  <dcterms:modified xsi:type="dcterms:W3CDTF">2025-11-04T21:39:59Z</dcterms:modified>
</cp:coreProperties>
</file>