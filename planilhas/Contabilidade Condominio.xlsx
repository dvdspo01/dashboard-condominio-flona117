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1E8E34D0-0A45-457C-A26B-6ED76C307B73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TaxaCondominio" sheetId="4" r:id="rId4"/>
    <sheet name="Manutenções" sheetId="5" state="hidden" r:id="rId5"/>
  </sheets>
  <calcPr calcId="181029"/>
</workbook>
</file>

<file path=xl/calcChain.xml><?xml version="1.0" encoding="utf-8"?>
<calcChain xmlns="http://schemas.openxmlformats.org/spreadsheetml/2006/main">
  <c r="Z10" i="4" l="1"/>
  <c r="Y10" i="4"/>
  <c r="X10" i="4"/>
  <c r="W10" i="4"/>
  <c r="V10" i="4"/>
  <c r="J9" i="3" s="1"/>
  <c r="J8" i="3" s="1"/>
  <c r="U10" i="4"/>
  <c r="T10" i="4"/>
  <c r="S10" i="4"/>
  <c r="G9" i="3" s="1"/>
  <c r="G8" i="3" s="1"/>
  <c r="R10" i="4"/>
  <c r="Q10" i="4"/>
  <c r="P10" i="4"/>
  <c r="O10" i="4"/>
  <c r="N10" i="4"/>
  <c r="M10" i="4"/>
  <c r="L10" i="4"/>
  <c r="K10" i="4"/>
  <c r="J10" i="4"/>
  <c r="I10" i="4"/>
  <c r="H10" i="4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F33" i="3"/>
  <c r="G33" i="3" s="1"/>
  <c r="H33" i="3" s="1"/>
  <c r="I33" i="3" s="1"/>
  <c r="J33" i="3" s="1"/>
  <c r="K33" i="3" s="1"/>
  <c r="L33" i="3" s="1"/>
  <c r="M33" i="3" s="1"/>
  <c r="E33" i="3"/>
  <c r="M30" i="3"/>
  <c r="L30" i="3"/>
  <c r="H30" i="3"/>
  <c r="G30" i="3"/>
  <c r="F30" i="3"/>
  <c r="E30" i="3"/>
  <c r="D30" i="3"/>
  <c r="C30" i="3"/>
  <c r="J29" i="3"/>
  <c r="I29" i="3"/>
  <c r="H29" i="3"/>
  <c r="G29" i="3"/>
  <c r="C29" i="3"/>
  <c r="B29" i="3"/>
  <c r="M28" i="3"/>
  <c r="L28" i="3"/>
  <c r="J28" i="3"/>
  <c r="H28" i="3"/>
  <c r="F28" i="3"/>
  <c r="E28" i="3"/>
  <c r="D28" i="3"/>
  <c r="C28" i="3"/>
  <c r="B28" i="3"/>
  <c r="J23" i="3"/>
  <c r="M21" i="3"/>
  <c r="L21" i="3"/>
  <c r="K21" i="3"/>
  <c r="K30" i="3" s="1"/>
  <c r="J21" i="3"/>
  <c r="J30" i="3" s="1"/>
  <c r="I21" i="3"/>
  <c r="I30" i="3" s="1"/>
  <c r="H21" i="3"/>
  <c r="G21" i="3"/>
  <c r="F21" i="3"/>
  <c r="E21" i="3"/>
  <c r="D21" i="3"/>
  <c r="C21" i="3"/>
  <c r="B21" i="3"/>
  <c r="B30" i="3" s="1"/>
  <c r="M19" i="3"/>
  <c r="M16" i="3" s="1"/>
  <c r="M29" i="3" s="1"/>
  <c r="J19" i="3"/>
  <c r="L19" i="3" s="1"/>
  <c r="L16" i="3" s="1"/>
  <c r="L29" i="3" s="1"/>
  <c r="M18" i="3"/>
  <c r="L18" i="3"/>
  <c r="M17" i="3"/>
  <c r="L17" i="3"/>
  <c r="K16" i="3"/>
  <c r="K29" i="3" s="1"/>
  <c r="J16" i="3"/>
  <c r="I16" i="3"/>
  <c r="H16" i="3"/>
  <c r="G16" i="3"/>
  <c r="F16" i="3"/>
  <c r="F29" i="3" s="1"/>
  <c r="E16" i="3"/>
  <c r="E29" i="3" s="1"/>
  <c r="D16" i="3"/>
  <c r="D29" i="3" s="1"/>
  <c r="C16" i="3"/>
  <c r="B16" i="3"/>
  <c r="M13" i="3"/>
  <c r="L13" i="3"/>
  <c r="K13" i="3"/>
  <c r="J13" i="3"/>
  <c r="I13" i="3"/>
  <c r="I28" i="3" s="1"/>
  <c r="H13" i="3"/>
  <c r="G13" i="3"/>
  <c r="F13" i="3"/>
  <c r="E13" i="3"/>
  <c r="D13" i="3"/>
  <c r="C13" i="3"/>
  <c r="B13" i="3"/>
  <c r="K9" i="3"/>
  <c r="K8" i="3" s="1"/>
  <c r="I9" i="3"/>
  <c r="H9" i="3"/>
  <c r="F9" i="3"/>
  <c r="E9" i="3"/>
  <c r="E8" i="3" s="1"/>
  <c r="E27" i="3" s="1"/>
  <c r="D9" i="3"/>
  <c r="D8" i="3" s="1"/>
  <c r="C9" i="3"/>
  <c r="C8" i="3" s="1"/>
  <c r="B9" i="3"/>
  <c r="B8" i="3" s="1"/>
  <c r="M8" i="3"/>
  <c r="L8" i="3"/>
  <c r="I8" i="3"/>
  <c r="H8" i="3"/>
  <c r="F8" i="3"/>
  <c r="M6" i="3"/>
  <c r="L6" i="3"/>
  <c r="M5" i="3"/>
  <c r="L5" i="3"/>
  <c r="K5" i="3"/>
  <c r="J5" i="3"/>
  <c r="I5" i="3"/>
  <c r="H5" i="3"/>
  <c r="G5" i="3"/>
  <c r="F5" i="3"/>
  <c r="E5" i="3"/>
  <c r="D5" i="3"/>
  <c r="C5" i="3"/>
  <c r="B5" i="3"/>
  <c r="K30" i="2"/>
  <c r="J30" i="2"/>
  <c r="I30" i="2"/>
  <c r="H30" i="2"/>
  <c r="F30" i="2"/>
  <c r="C30" i="2"/>
  <c r="B30" i="2"/>
  <c r="M29" i="2"/>
  <c r="L29" i="2"/>
  <c r="J29" i="2"/>
  <c r="G29" i="2"/>
  <c r="F29" i="2"/>
  <c r="E29" i="2"/>
  <c r="D29" i="2"/>
  <c r="B29" i="2"/>
  <c r="M28" i="2"/>
  <c r="K28" i="2"/>
  <c r="J28" i="2"/>
  <c r="E28" i="2"/>
  <c r="D28" i="2"/>
  <c r="C28" i="2"/>
  <c r="M21" i="2"/>
  <c r="M30" i="2" s="1"/>
  <c r="L21" i="2"/>
  <c r="L30" i="2" s="1"/>
  <c r="K21" i="2"/>
  <c r="J21" i="2"/>
  <c r="I21" i="2"/>
  <c r="H21" i="2"/>
  <c r="G21" i="2"/>
  <c r="G30" i="2" s="1"/>
  <c r="F21" i="2"/>
  <c r="E21" i="2"/>
  <c r="E30" i="2" s="1"/>
  <c r="D21" i="2"/>
  <c r="D30" i="2" s="1"/>
  <c r="C21" i="2"/>
  <c r="B21" i="2"/>
  <c r="M16" i="2"/>
  <c r="L16" i="2"/>
  <c r="K16" i="2"/>
  <c r="K29" i="2" s="1"/>
  <c r="J16" i="2"/>
  <c r="I16" i="2"/>
  <c r="I29" i="2" s="1"/>
  <c r="H16" i="2"/>
  <c r="H29" i="2" s="1"/>
  <c r="G16" i="2"/>
  <c r="F16" i="2"/>
  <c r="E16" i="2"/>
  <c r="D16" i="2"/>
  <c r="C16" i="2"/>
  <c r="C29" i="2" s="1"/>
  <c r="B16" i="2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L9" i="2"/>
  <c r="K9" i="2"/>
  <c r="K8" i="2" s="1"/>
  <c r="J9" i="2"/>
  <c r="I9" i="2"/>
  <c r="I8" i="2" s="1"/>
  <c r="H9" i="2"/>
  <c r="E9" i="2"/>
  <c r="M8" i="2"/>
  <c r="L8" i="2"/>
  <c r="J8" i="2"/>
  <c r="H8" i="2"/>
  <c r="E8" i="2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B31" i="2" l="1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7" i="3"/>
  <c r="B31" i="3" s="1"/>
  <c r="C6" i="3" l="1"/>
  <c r="C27" i="3"/>
  <c r="C31" i="3" s="1"/>
  <c r="D31" i="3" l="1"/>
  <c r="D6" i="3"/>
  <c r="E31" i="3" l="1"/>
  <c r="E6" i="3"/>
  <c r="F6" i="3" l="1"/>
  <c r="F27" i="3"/>
  <c r="F31" i="3" s="1"/>
  <c r="G27" i="3" l="1"/>
  <c r="G31" i="3" s="1"/>
  <c r="H27" i="3" s="1"/>
  <c r="H31" i="3" s="1"/>
  <c r="G6" i="3"/>
  <c r="H6" i="3" l="1"/>
  <c r="I27" i="3"/>
  <c r="I31" i="3" s="1"/>
  <c r="I6" i="3" l="1"/>
  <c r="J27" i="3"/>
  <c r="J31" i="3" s="1"/>
  <c r="J6" i="3" l="1"/>
  <c r="K27" i="3"/>
  <c r="K31" i="3" s="1"/>
  <c r="K6" i="3" l="1"/>
  <c r="L27" i="3"/>
  <c r="L31" i="3" s="1"/>
  <c r="M27" i="3" s="1"/>
  <c r="M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<sst xmlns="http://schemas.openxmlformats.org/spreadsheetml/2006/main" count="102" uniqueCount="74">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</sst>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29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164" fontId="28" fillId="0" borderId="37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4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6"/>
      <c r="M1" s="1"/>
    </row>
    <row r="2" spans="1:13" ht="23.25" customHeight="1" x14ac:dyDescent="0.2">
      <c r="A2" s="1"/>
      <c r="B2" s="127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6"/>
      <c r="M2" s="1"/>
    </row>
    <row r="3" spans="1:13" ht="15.75" customHeight="1" x14ac:dyDescent="0.2">
      <c r="A3" s="2"/>
      <c r="B3" s="128" t="s">
        <v>2</v>
      </c>
      <c r="C3" s="129"/>
      <c r="D3" s="129"/>
      <c r="E3" s="129"/>
      <c r="F3" s="129"/>
      <c r="G3" s="129"/>
      <c r="H3" s="129"/>
      <c r="I3" s="129"/>
      <c r="J3" s="129"/>
      <c r="K3" s="129"/>
      <c r="L3" s="130"/>
      <c r="M3" s="2"/>
    </row>
    <row r="4" spans="1:13" ht="15.75" customHeight="1" x14ac:dyDescent="0.2">
      <c r="A4" s="3"/>
      <c r="B4" s="131"/>
      <c r="C4" s="132"/>
      <c r="D4" s="132"/>
      <c r="E4" s="132"/>
      <c r="F4" s="132"/>
      <c r="G4" s="132"/>
      <c r="H4" s="132"/>
      <c r="I4" s="132"/>
      <c r="J4" s="132"/>
      <c r="K4" s="132"/>
      <c r="L4" s="133"/>
      <c r="M4" s="3"/>
    </row>
    <row r="5" spans="1:13" ht="27" customHeight="1" x14ac:dyDescent="0.2">
      <c r="A5" s="4"/>
      <c r="B5" s="5" t="s">
        <v>3</v>
      </c>
      <c r="C5" s="134" t="s">
        <v>4</v>
      </c>
      <c r="D5" s="135"/>
      <c r="E5" s="135"/>
      <c r="F5" s="135"/>
      <c r="G5" s="135"/>
      <c r="H5" s="135"/>
      <c r="I5" s="135"/>
      <c r="J5" s="135"/>
      <c r="K5" s="135"/>
      <c r="L5" s="136"/>
      <c r="M5" s="4"/>
    </row>
    <row r="6" spans="1:13" ht="30.75" customHeight="1" x14ac:dyDescent="0.2">
      <c r="A6" s="6"/>
      <c r="B6" s="116" t="s">
        <v>5</v>
      </c>
      <c r="C6" s="119" t="s">
        <v>6</v>
      </c>
      <c r="D6" s="120"/>
      <c r="E6" s="120"/>
      <c r="F6" s="120"/>
      <c r="G6" s="120"/>
      <c r="H6" s="120"/>
      <c r="I6" s="120"/>
      <c r="J6" s="120"/>
      <c r="K6" s="120"/>
      <c r="L6" s="121"/>
      <c r="M6" s="6"/>
    </row>
    <row r="7" spans="1:13" ht="34.5" customHeight="1" x14ac:dyDescent="0.2">
      <c r="A7" s="6"/>
      <c r="B7" s="117"/>
      <c r="C7" s="120"/>
      <c r="D7" s="120"/>
      <c r="E7" s="120"/>
      <c r="F7" s="120"/>
      <c r="G7" s="120"/>
      <c r="H7" s="120"/>
      <c r="I7" s="120"/>
      <c r="J7" s="120"/>
      <c r="K7" s="120"/>
      <c r="L7" s="121"/>
      <c r="M7" s="6"/>
    </row>
    <row r="8" spans="1:13" ht="15.75" customHeight="1" x14ac:dyDescent="0.2">
      <c r="A8" s="6"/>
      <c r="B8" s="116" t="s">
        <v>7</v>
      </c>
      <c r="C8" s="119" t="s">
        <v>8</v>
      </c>
      <c r="D8" s="120"/>
      <c r="E8" s="120"/>
      <c r="F8" s="120"/>
      <c r="G8" s="120"/>
      <c r="H8" s="120"/>
      <c r="I8" s="120"/>
      <c r="J8" s="120"/>
      <c r="K8" s="120"/>
      <c r="L8" s="121"/>
      <c r="M8" s="6"/>
    </row>
    <row r="9" spans="1:13" ht="15.75" customHeight="1" x14ac:dyDescent="0.2">
      <c r="A9" s="6"/>
      <c r="B9" s="117"/>
      <c r="C9" s="120"/>
      <c r="D9" s="120"/>
      <c r="E9" s="120"/>
      <c r="F9" s="120"/>
      <c r="G9" s="120"/>
      <c r="H9" s="120"/>
      <c r="I9" s="120"/>
      <c r="J9" s="120"/>
      <c r="K9" s="120"/>
      <c r="L9" s="121"/>
      <c r="M9" s="6"/>
    </row>
    <row r="10" spans="1:13" ht="18.75" customHeight="1" x14ac:dyDescent="0.2">
      <c r="A10" s="6"/>
      <c r="B10" s="116" t="s">
        <v>9</v>
      </c>
      <c r="C10" s="119" t="s">
        <v>10</v>
      </c>
      <c r="D10" s="120"/>
      <c r="E10" s="120"/>
      <c r="F10" s="120"/>
      <c r="G10" s="120"/>
      <c r="H10" s="120"/>
      <c r="I10" s="120"/>
      <c r="J10" s="120"/>
      <c r="K10" s="120"/>
      <c r="L10" s="121"/>
      <c r="M10" s="6"/>
    </row>
    <row r="11" spans="1:13" ht="20.25" customHeight="1" x14ac:dyDescent="0.2">
      <c r="A11" s="6"/>
      <c r="B11" s="117"/>
      <c r="C11" s="120"/>
      <c r="D11" s="120"/>
      <c r="E11" s="120"/>
      <c r="F11" s="120"/>
      <c r="G11" s="120"/>
      <c r="H11" s="120"/>
      <c r="I11" s="120"/>
      <c r="J11" s="120"/>
      <c r="K11" s="120"/>
      <c r="L11" s="121"/>
      <c r="M11" s="6"/>
    </row>
    <row r="12" spans="1:13" ht="18.75" customHeight="1" x14ac:dyDescent="0.2">
      <c r="A12" s="6"/>
      <c r="B12" s="116" t="s">
        <v>11</v>
      </c>
      <c r="C12" s="119" t="s">
        <v>12</v>
      </c>
      <c r="D12" s="120"/>
      <c r="E12" s="120"/>
      <c r="F12" s="120"/>
      <c r="G12" s="120"/>
      <c r="H12" s="120"/>
      <c r="I12" s="120"/>
      <c r="J12" s="120"/>
      <c r="K12" s="120"/>
      <c r="L12" s="121"/>
      <c r="M12" s="6"/>
    </row>
    <row r="13" spans="1:13" ht="18.75" customHeight="1" x14ac:dyDescent="0.2">
      <c r="A13" s="6"/>
      <c r="B13" s="117"/>
      <c r="C13" s="120"/>
      <c r="D13" s="120"/>
      <c r="E13" s="120"/>
      <c r="F13" s="120"/>
      <c r="G13" s="120"/>
      <c r="H13" s="120"/>
      <c r="I13" s="120"/>
      <c r="J13" s="120"/>
      <c r="K13" s="120"/>
      <c r="L13" s="121"/>
      <c r="M13" s="6"/>
    </row>
    <row r="14" spans="1:13" ht="18.75" customHeight="1" x14ac:dyDescent="0.2">
      <c r="A14" s="6"/>
      <c r="B14" s="116" t="s">
        <v>13</v>
      </c>
      <c r="C14" s="119" t="s">
        <v>14</v>
      </c>
      <c r="D14" s="120"/>
      <c r="E14" s="120"/>
      <c r="F14" s="120"/>
      <c r="G14" s="120"/>
      <c r="H14" s="120"/>
      <c r="I14" s="120"/>
      <c r="J14" s="120"/>
      <c r="K14" s="120"/>
      <c r="L14" s="121"/>
      <c r="M14" s="6"/>
    </row>
    <row r="15" spans="1:13" ht="18.75" customHeight="1" x14ac:dyDescent="0.2">
      <c r="A15" s="6"/>
      <c r="B15" s="117"/>
      <c r="C15" s="120"/>
      <c r="D15" s="120"/>
      <c r="E15" s="120"/>
      <c r="F15" s="120"/>
      <c r="G15" s="120"/>
      <c r="H15" s="120"/>
      <c r="I15" s="120"/>
      <c r="J15" s="120"/>
      <c r="K15" s="120"/>
      <c r="L15" s="121"/>
      <c r="M15" s="6"/>
    </row>
    <row r="16" spans="1:13" ht="25.5" customHeight="1" x14ac:dyDescent="0.2">
      <c r="A16" s="6"/>
      <c r="B16" s="116" t="s">
        <v>15</v>
      </c>
      <c r="C16" s="119" t="s">
        <v>16</v>
      </c>
      <c r="D16" s="120"/>
      <c r="E16" s="120"/>
      <c r="F16" s="120"/>
      <c r="G16" s="120"/>
      <c r="H16" s="120"/>
      <c r="I16" s="120"/>
      <c r="J16" s="120"/>
      <c r="K16" s="120"/>
      <c r="L16" s="121"/>
      <c r="M16" s="6"/>
    </row>
    <row r="17" spans="1:13" ht="23.25" customHeight="1" x14ac:dyDescent="0.2">
      <c r="A17" s="6"/>
      <c r="B17" s="118"/>
      <c r="C17" s="122"/>
      <c r="D17" s="122"/>
      <c r="E17" s="122"/>
      <c r="F17" s="122"/>
      <c r="G17" s="122"/>
      <c r="H17" s="122"/>
      <c r="I17" s="122"/>
      <c r="J17" s="122"/>
      <c r="K17" s="122"/>
      <c r="L17" s="123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37"/>
      <c r="B1" s="138" t="s">
        <v>17</v>
      </c>
      <c r="C1" s="120"/>
      <c r="D1" s="139" t="s">
        <v>18</v>
      </c>
      <c r="E1" s="120"/>
      <c r="F1" s="120"/>
      <c r="G1" s="120"/>
      <c r="H1" s="120"/>
      <c r="I1" s="12"/>
      <c r="J1" s="13"/>
      <c r="K1" s="13"/>
      <c r="L1" s="13"/>
      <c r="M1" s="13"/>
    </row>
    <row r="2" spans="1:13" ht="15.75" customHeight="1" x14ac:dyDescent="0.2">
      <c r="A2" s="120"/>
      <c r="B2" s="138" t="s">
        <v>19</v>
      </c>
      <c r="C2" s="120"/>
      <c r="D2" s="140" t="s">
        <v>20</v>
      </c>
      <c r="E2" s="120"/>
      <c r="F2" s="120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0"/>
      <c r="B3" s="138"/>
      <c r="C3" s="120"/>
      <c r="D3" s="141"/>
      <c r="E3" s="120"/>
      <c r="F3" s="14"/>
      <c r="G3" s="141"/>
      <c r="H3" s="120"/>
      <c r="I3" s="15"/>
      <c r="J3" s="16"/>
      <c r="K3" s="16"/>
      <c r="L3" s="16"/>
      <c r="M3" s="16"/>
    </row>
    <row r="4" spans="1:13" ht="15.75" customHeight="1" x14ac:dyDescent="0.2">
      <c r="A4" s="120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M1000"/>
  <sheetViews>
    <sheetView tabSelected="1" workbookViewId="0">
      <selection activeCell="K23" sqref="K23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2"/>
      <c r="B1" s="143" t="s">
        <v>17</v>
      </c>
      <c r="C1" s="120"/>
      <c r="D1" s="144" t="s">
        <v>18</v>
      </c>
      <c r="E1" s="120"/>
      <c r="F1" s="120"/>
      <c r="G1" s="120"/>
      <c r="H1" s="120"/>
      <c r="I1" s="45"/>
      <c r="J1" s="46"/>
      <c r="K1" s="46"/>
      <c r="L1" s="46"/>
      <c r="M1" s="46"/>
    </row>
    <row r="2" spans="1:13" ht="12.75" customHeight="1" x14ac:dyDescent="0.2">
      <c r="A2" s="120"/>
      <c r="B2" s="143" t="s">
        <v>19</v>
      </c>
      <c r="C2" s="120"/>
      <c r="D2" s="140" t="s">
        <v>20</v>
      </c>
      <c r="E2" s="120"/>
      <c r="F2" s="120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0"/>
      <c r="B3" s="143"/>
      <c r="C3" s="120"/>
      <c r="D3" s="145"/>
      <c r="E3" s="120"/>
      <c r="F3" s="47"/>
      <c r="G3" s="145"/>
      <c r="H3" s="120"/>
      <c r="I3" s="48"/>
      <c r="J3" s="49"/>
      <c r="K3" s="49"/>
      <c r="L3" s="49"/>
      <c r="M3" s="49"/>
    </row>
    <row r="4" spans="1:13" ht="12.75" customHeight="1" x14ac:dyDescent="0.2">
      <c r="A4" s="120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2024'!M31+B8-B16-B21</f>
        <v>3783.1</v>
      </c>
      <c r="C6" s="57">
        <f>B31+C8+C28+-C29</f>
        <v>4048.9300000000003</v>
      </c>
      <c r="D6" s="57">
        <f t="shared" ref="D6:E6" si="0">C31+D8-D16</f>
        <v>4314.1100000000006</v>
      </c>
      <c r="E6" s="57">
        <f t="shared" si="0"/>
        <v>3680.7400000000007</v>
      </c>
      <c r="F6" s="57">
        <f t="shared" ref="F6:G6" si="1">E31+F8-F16-F21</f>
        <v>3196.8900000000008</v>
      </c>
      <c r="G6" s="57">
        <f t="shared" si="1"/>
        <v>3311.5100000000007</v>
      </c>
      <c r="H6" s="57">
        <f t="shared" ref="H6:K6" si="2">H31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3084.19</v>
      </c>
      <c r="L6" s="57">
        <f>'Fluxo de caixa 2024'!W31</f>
        <v>0</v>
      </c>
      <c r="M6" s="57">
        <f>'Fluxo de caixa 2024'!X31</f>
        <v>0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514.34</v>
      </c>
      <c r="L8" s="61">
        <f t="shared" si="4"/>
        <v>600</v>
      </c>
      <c r="M8" s="61">
        <f t="shared" si="4"/>
        <v>600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450</v>
      </c>
      <c r="L9" s="64">
        <v>600</v>
      </c>
      <c r="M9" s="64"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0</v>
      </c>
      <c r="M10" s="65">
        <v>0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SUM(B14:B15)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0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/>
      <c r="M14" s="69"/>
    </row>
    <row r="15" spans="1:13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.75" customHeight="1" x14ac:dyDescent="0.2">
      <c r="A16" s="67" t="s">
        <v>29</v>
      </c>
      <c r="B16" s="68">
        <f t="shared" ref="B16:C16" si="6">B17+B18+B19</f>
        <v>324.07</v>
      </c>
      <c r="C16" s="68">
        <f t="shared" si="6"/>
        <v>334.16999999999996</v>
      </c>
      <c r="D16" s="68">
        <f t="shared" ref="D16:M16" si="7">SUM(D17:D20)</f>
        <v>334.82</v>
      </c>
      <c r="E16" s="68">
        <f t="shared" si="7"/>
        <v>233.37</v>
      </c>
      <c r="F16" s="68">
        <f t="shared" si="7"/>
        <v>333.85</v>
      </c>
      <c r="G16" s="68">
        <f t="shared" si="7"/>
        <v>335.38</v>
      </c>
      <c r="H16" s="68">
        <f t="shared" si="7"/>
        <v>336.31</v>
      </c>
      <c r="I16" s="68">
        <f t="shared" si="7"/>
        <v>236.67</v>
      </c>
      <c r="J16" s="68">
        <f t="shared" si="7"/>
        <v>343.72</v>
      </c>
      <c r="K16" s="68">
        <f t="shared" si="7"/>
        <v>344.02</v>
      </c>
      <c r="L16" s="68">
        <f t="shared" si="7"/>
        <v>312.48444444444442</v>
      </c>
      <c r="M16" s="68">
        <f t="shared" si="7"/>
        <v>312.48444444444442</v>
      </c>
    </row>
    <row r="17" spans="1:13" ht="12.75" customHeight="1" x14ac:dyDescent="0.2">
      <c r="A17" s="62" t="s">
        <v>30</v>
      </c>
      <c r="B17" s="70">
        <v>76.5</v>
      </c>
      <c r="C17" s="70">
        <v>76.3</v>
      </c>
      <c r="D17" s="70">
        <v>76.3</v>
      </c>
      <c r="E17" s="70">
        <v>76.3</v>
      </c>
      <c r="F17" s="70">
        <v>76.3</v>
      </c>
      <c r="G17" s="70">
        <v>76.3</v>
      </c>
      <c r="H17" s="70">
        <v>76.3</v>
      </c>
      <c r="I17" s="70">
        <v>76.3</v>
      </c>
      <c r="J17" s="70">
        <v>76.3</v>
      </c>
      <c r="K17" s="70">
        <v>76.3</v>
      </c>
      <c r="L17" s="70">
        <f t="shared" ref="L17:L19" si="8">AVERAGE(B17:J17)</f>
        <v>76.322222222222223</v>
      </c>
      <c r="M17" s="70">
        <f t="shared" ref="M17:M19" si="9">AVERAGE(B17:J17)</f>
        <v>76.322222222222223</v>
      </c>
    </row>
    <row r="18" spans="1:13" ht="12.75" customHeight="1" x14ac:dyDescent="0.2">
      <c r="A18" s="62" t="s">
        <v>31</v>
      </c>
      <c r="B18" s="70">
        <v>47.57</v>
      </c>
      <c r="C18" s="70">
        <v>57.87</v>
      </c>
      <c r="D18" s="70">
        <v>58.52</v>
      </c>
      <c r="E18" s="70">
        <v>57.07</v>
      </c>
      <c r="F18" s="70">
        <v>57.55</v>
      </c>
      <c r="G18" s="70">
        <v>59.08</v>
      </c>
      <c r="H18" s="70">
        <v>60.01</v>
      </c>
      <c r="I18" s="70">
        <v>60.37</v>
      </c>
      <c r="J18" s="70">
        <v>67.42</v>
      </c>
      <c r="K18" s="70">
        <v>67.72</v>
      </c>
      <c r="L18" s="70">
        <f t="shared" si="8"/>
        <v>58.384444444444433</v>
      </c>
      <c r="M18" s="70">
        <f t="shared" si="9"/>
        <v>58.384444444444433</v>
      </c>
    </row>
    <row r="19" spans="1:13" ht="12.75" customHeight="1" x14ac:dyDescent="0.2">
      <c r="A19" s="62" t="s">
        <v>32</v>
      </c>
      <c r="B19" s="69">
        <v>200</v>
      </c>
      <c r="C19" s="69">
        <v>200</v>
      </c>
      <c r="D19" s="69">
        <v>200</v>
      </c>
      <c r="E19" s="69">
        <v>100</v>
      </c>
      <c r="F19" s="69">
        <v>200</v>
      </c>
      <c r="G19" s="69">
        <v>200</v>
      </c>
      <c r="H19" s="69">
        <v>200</v>
      </c>
      <c r="I19" s="69">
        <v>100</v>
      </c>
      <c r="J19" s="69">
        <f>100+100</f>
        <v>200</v>
      </c>
      <c r="K19" s="69">
        <v>200</v>
      </c>
      <c r="L19" s="70">
        <f t="shared" si="8"/>
        <v>177.77777777777777</v>
      </c>
      <c r="M19" s="70">
        <f t="shared" si="9"/>
        <v>177.77777777777777</v>
      </c>
    </row>
    <row r="20" spans="1:13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3" ht="12.75" customHeight="1" x14ac:dyDescent="0.2">
      <c r="A21" s="67" t="s">
        <v>33</v>
      </c>
      <c r="B21" s="68">
        <f>B22+B23+B24</f>
        <v>310</v>
      </c>
      <c r="C21" s="68">
        <f t="shared" ref="C21:M21" si="10">SUM(C22:C25)</f>
        <v>0</v>
      </c>
      <c r="D21" s="68">
        <f t="shared" si="10"/>
        <v>1000</v>
      </c>
      <c r="E21" s="68">
        <f t="shared" si="10"/>
        <v>150</v>
      </c>
      <c r="F21" s="68">
        <f t="shared" si="10"/>
        <v>600</v>
      </c>
      <c r="G21" s="68">
        <f t="shared" si="10"/>
        <v>150</v>
      </c>
      <c r="H21" s="68">
        <f t="shared" si="10"/>
        <v>150</v>
      </c>
      <c r="I21" s="68">
        <f t="shared" si="10"/>
        <v>150</v>
      </c>
      <c r="J21" s="68">
        <f t="shared" si="10"/>
        <v>845</v>
      </c>
      <c r="K21" s="68">
        <f t="shared" si="10"/>
        <v>560</v>
      </c>
      <c r="L21" s="68">
        <f t="shared" si="10"/>
        <v>150</v>
      </c>
      <c r="M21" s="68">
        <f t="shared" si="10"/>
        <v>150</v>
      </c>
    </row>
    <row r="22" spans="1:13" ht="12.75" customHeight="1" x14ac:dyDescent="0.2">
      <c r="A22" s="62" t="s">
        <v>34</v>
      </c>
      <c r="B22" s="70">
        <v>0</v>
      </c>
      <c r="C22" s="69">
        <v>0</v>
      </c>
      <c r="D22" s="69">
        <v>0</v>
      </c>
      <c r="E22" s="69">
        <v>0</v>
      </c>
      <c r="F22" s="69">
        <v>0</v>
      </c>
      <c r="G22" s="69">
        <v>0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3" ht="12.75" customHeight="1" x14ac:dyDescent="0.2">
      <c r="A23" s="62" t="s">
        <v>35</v>
      </c>
      <c r="B23" s="70">
        <v>310</v>
      </c>
      <c r="C23" s="70">
        <v>0</v>
      </c>
      <c r="D23" s="70">
        <v>1000</v>
      </c>
      <c r="E23" s="70">
        <v>0</v>
      </c>
      <c r="F23" s="70">
        <v>450</v>
      </c>
      <c r="G23" s="70">
        <v>0</v>
      </c>
      <c r="H23" s="70">
        <v>0</v>
      </c>
      <c r="I23" s="70">
        <v>0</v>
      </c>
      <c r="J23" s="70">
        <f>45+650</f>
        <v>695</v>
      </c>
      <c r="K23" s="154">
        <v>410</v>
      </c>
      <c r="L23" s="70">
        <v>0</v>
      </c>
      <c r="M23" s="70">
        <v>0</v>
      </c>
    </row>
    <row r="24" spans="1:13" ht="12.75" customHeight="1" x14ac:dyDescent="0.2">
      <c r="A24" s="62" t="s">
        <v>42</v>
      </c>
      <c r="B24" s="70">
        <v>0</v>
      </c>
      <c r="C24" s="70">
        <v>0</v>
      </c>
      <c r="D24" s="70">
        <v>0</v>
      </c>
      <c r="E24" s="70">
        <v>150</v>
      </c>
      <c r="F24" s="70">
        <v>150</v>
      </c>
      <c r="G24" s="70">
        <v>150</v>
      </c>
      <c r="H24" s="70">
        <v>150</v>
      </c>
      <c r="I24" s="70">
        <v>150</v>
      </c>
      <c r="J24" s="70">
        <v>150</v>
      </c>
      <c r="K24" s="70">
        <v>150</v>
      </c>
      <c r="L24" s="70">
        <v>150</v>
      </c>
      <c r="M24" s="70">
        <v>150</v>
      </c>
    </row>
    <row r="25" spans="1:13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3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3" ht="12.75" customHeight="1" x14ac:dyDescent="0.2">
      <c r="A27" s="62" t="s">
        <v>37</v>
      </c>
      <c r="B27" s="70">
        <f>'Fluxo de caixa 2024'!M31+'Fluxo de caixa 2025'!B8</f>
        <v>4417.17</v>
      </c>
      <c r="C27" s="70">
        <f>C8+B31</f>
        <v>4383.1000000000004</v>
      </c>
      <c r="D27" s="70">
        <v>0</v>
      </c>
      <c r="E27" s="70">
        <f>E8</f>
        <v>600</v>
      </c>
      <c r="F27" s="70">
        <f>F8+E31</f>
        <v>4130.7400000000007</v>
      </c>
      <c r="G27" s="70">
        <f>F31+G8</f>
        <v>3796.8900000000008</v>
      </c>
      <c r="H27" s="70">
        <f>G31+H9</f>
        <v>3911.5100000000007</v>
      </c>
      <c r="I27" s="70">
        <f>I8+H31</f>
        <v>4025.2000000000007</v>
      </c>
      <c r="J27" s="70">
        <f t="shared" ref="J27:M27" si="11">I31+J8</f>
        <v>4662.59</v>
      </c>
      <c r="K27" s="70">
        <f t="shared" si="11"/>
        <v>3988.21</v>
      </c>
      <c r="L27" s="70">
        <f t="shared" si="11"/>
        <v>3684.19</v>
      </c>
      <c r="M27" s="70">
        <f t="shared" si="11"/>
        <v>3821.7055555555557</v>
      </c>
    </row>
    <row r="28" spans="1:13" ht="12.75" customHeight="1" x14ac:dyDescent="0.2">
      <c r="A28" s="62" t="s">
        <v>38</v>
      </c>
      <c r="B28" s="70">
        <f t="shared" ref="B28:E28" si="12">B10</f>
        <v>0</v>
      </c>
      <c r="C28" s="70">
        <f t="shared" si="12"/>
        <v>0</v>
      </c>
      <c r="D28" s="70">
        <f t="shared" si="12"/>
        <v>0</v>
      </c>
      <c r="E28" s="70">
        <f t="shared" si="12"/>
        <v>0</v>
      </c>
      <c r="F28" s="70">
        <f>F13</f>
        <v>0</v>
      </c>
      <c r="G28" s="70">
        <v>0</v>
      </c>
      <c r="H28" s="70">
        <f>H10</f>
        <v>0</v>
      </c>
      <c r="I28" s="70">
        <f>I13</f>
        <v>0</v>
      </c>
      <c r="J28" s="70">
        <f>J10</f>
        <v>424.06</v>
      </c>
      <c r="K28" s="70">
        <v>0</v>
      </c>
      <c r="L28" s="70">
        <f t="shared" ref="L28:M28" si="13">L10</f>
        <v>0</v>
      </c>
      <c r="M28" s="70">
        <f t="shared" si="13"/>
        <v>0</v>
      </c>
    </row>
    <row r="29" spans="1:13" ht="12.75" customHeight="1" x14ac:dyDescent="0.2">
      <c r="A29" s="62" t="s">
        <v>39</v>
      </c>
      <c r="B29" s="70">
        <f t="shared" ref="B29:M29" si="14">B16</f>
        <v>324.07</v>
      </c>
      <c r="C29" s="70">
        <f t="shared" si="14"/>
        <v>334.16999999999996</v>
      </c>
      <c r="D29" s="70">
        <f t="shared" si="14"/>
        <v>334.82</v>
      </c>
      <c r="E29" s="70">
        <f t="shared" si="14"/>
        <v>233.37</v>
      </c>
      <c r="F29" s="70">
        <f t="shared" si="14"/>
        <v>333.85</v>
      </c>
      <c r="G29" s="70">
        <f t="shared" si="14"/>
        <v>335.38</v>
      </c>
      <c r="H29" s="70">
        <f t="shared" si="14"/>
        <v>336.31</v>
      </c>
      <c r="I29" s="70">
        <f t="shared" si="14"/>
        <v>236.67</v>
      </c>
      <c r="J29" s="70">
        <f t="shared" si="14"/>
        <v>343.72</v>
      </c>
      <c r="K29" s="70">
        <f t="shared" si="14"/>
        <v>344.02</v>
      </c>
      <c r="L29" s="70">
        <f t="shared" si="14"/>
        <v>312.48444444444442</v>
      </c>
      <c r="M29" s="70">
        <f t="shared" si="14"/>
        <v>312.48444444444442</v>
      </c>
    </row>
    <row r="30" spans="1:13" ht="12.75" customHeight="1" x14ac:dyDescent="0.2">
      <c r="A30" s="62" t="s">
        <v>40</v>
      </c>
      <c r="B30" s="70">
        <f t="shared" ref="B30:M30" si="15">B21</f>
        <v>310</v>
      </c>
      <c r="C30" s="70">
        <f t="shared" si="15"/>
        <v>0</v>
      </c>
      <c r="D30" s="70">
        <f t="shared" si="15"/>
        <v>1000</v>
      </c>
      <c r="E30" s="70">
        <f t="shared" si="15"/>
        <v>150</v>
      </c>
      <c r="F30" s="70">
        <f t="shared" si="15"/>
        <v>600</v>
      </c>
      <c r="G30" s="70">
        <f t="shared" si="15"/>
        <v>150</v>
      </c>
      <c r="H30" s="70">
        <f t="shared" si="15"/>
        <v>150</v>
      </c>
      <c r="I30" s="70">
        <f t="shared" si="15"/>
        <v>150</v>
      </c>
      <c r="J30" s="70">
        <f t="shared" si="15"/>
        <v>845</v>
      </c>
      <c r="K30" s="70">
        <f t="shared" si="15"/>
        <v>560</v>
      </c>
      <c r="L30" s="70">
        <f t="shared" si="15"/>
        <v>150</v>
      </c>
      <c r="M30" s="70">
        <f t="shared" si="15"/>
        <v>150</v>
      </c>
    </row>
    <row r="31" spans="1:13" ht="12.75" customHeight="1" x14ac:dyDescent="0.2">
      <c r="A31" s="62" t="s">
        <v>41</v>
      </c>
      <c r="B31" s="73">
        <f>B27-B29-B30</f>
        <v>3783.1</v>
      </c>
      <c r="C31" s="73">
        <f>C27+C28-C29-C30</f>
        <v>4048.9300000000003</v>
      </c>
      <c r="D31" s="73">
        <f t="shared" ref="D31:E31" si="16">C31+D8-D16-D21</f>
        <v>3314.1100000000006</v>
      </c>
      <c r="E31" s="70">
        <f t="shared" si="16"/>
        <v>3530.7400000000007</v>
      </c>
      <c r="F31" s="70">
        <f>F27+F28-F29-F30</f>
        <v>3196.8900000000008</v>
      </c>
      <c r="G31" s="70">
        <f>G27-G29-G30</f>
        <v>3311.5100000000007</v>
      </c>
      <c r="H31" s="70">
        <f t="shared" ref="H31:I31" si="17">H27+H28-H29-H30</f>
        <v>3425.2000000000007</v>
      </c>
      <c r="I31" s="70">
        <f t="shared" si="17"/>
        <v>3638.5300000000007</v>
      </c>
      <c r="J31" s="70">
        <f>J27-J29-J30</f>
        <v>3473.87</v>
      </c>
      <c r="K31" s="70">
        <f t="shared" ref="K31:M31" si="18">K27+K28-K29-K30</f>
        <v>3084.19</v>
      </c>
      <c r="L31" s="70">
        <f t="shared" si="18"/>
        <v>3221.7055555555557</v>
      </c>
      <c r="M31" s="70">
        <f t="shared" si="18"/>
        <v>3359.2211111111114</v>
      </c>
    </row>
    <row r="32" spans="1:13" ht="12.75" customHeight="1" x14ac:dyDescent="0.2"/>
    <row r="33" spans="1:13" ht="12.75" customHeight="1" x14ac:dyDescent="0.2">
      <c r="A33" s="74" t="s">
        <v>43</v>
      </c>
      <c r="D33" s="75">
        <v>-3000</v>
      </c>
      <c r="E33" s="76">
        <f>D33+E24</f>
        <v>-2850</v>
      </c>
      <c r="F33" s="76">
        <f t="shared" ref="F33:G33" si="19">SUM(E33+F24)</f>
        <v>-2700</v>
      </c>
      <c r="G33" s="77">
        <f t="shared" si="19"/>
        <v>-2550</v>
      </c>
      <c r="H33" s="76">
        <f>SUM(G33+H21)</f>
        <v>-2400</v>
      </c>
      <c r="I33" s="76">
        <f t="shared" ref="I33:M33" si="20">H33+150</f>
        <v>-2250</v>
      </c>
      <c r="J33" s="76">
        <f t="shared" si="20"/>
        <v>-2100</v>
      </c>
      <c r="K33" s="76">
        <f t="shared" si="20"/>
        <v>-1950</v>
      </c>
      <c r="L33" s="76">
        <f t="shared" si="20"/>
        <v>-1800</v>
      </c>
      <c r="M33" s="76">
        <f t="shared" si="20"/>
        <v>-1650</v>
      </c>
    </row>
    <row r="34" spans="1:13" ht="12.75" customHeight="1" x14ac:dyDescent="0.2"/>
    <row r="35" spans="1:13" ht="12.75" customHeight="1" x14ac:dyDescent="0.2"/>
    <row r="36" spans="1:13" ht="12.75" customHeight="1" x14ac:dyDescent="0.2"/>
    <row r="37" spans="1:13" ht="12.75" customHeight="1" x14ac:dyDescent="0.2"/>
    <row r="38" spans="1:13" ht="12.75" customHeight="1" x14ac:dyDescent="0.2"/>
    <row r="39" spans="1:13" ht="12.75" customHeight="1" x14ac:dyDescent="0.2"/>
    <row r="40" spans="1:13" ht="12.75" customHeight="1" x14ac:dyDescent="0.2"/>
    <row r="41" spans="1:13" ht="12.75" customHeight="1" x14ac:dyDescent="0.2"/>
    <row r="42" spans="1:13" ht="12.75" customHeight="1" x14ac:dyDescent="0.2"/>
    <row r="43" spans="1:13" ht="12.75" customHeight="1" x14ac:dyDescent="0.2"/>
    <row r="44" spans="1:13" ht="12.75" customHeight="1" x14ac:dyDescent="0.2"/>
    <row r="45" spans="1:13" ht="12.75" customHeight="1" x14ac:dyDescent="0.2"/>
    <row r="46" spans="1:13" ht="12.75" customHeight="1" x14ac:dyDescent="0.2"/>
    <row r="47" spans="1:13" ht="12.75" customHeight="1" x14ac:dyDescent="0.2"/>
    <row r="48" spans="1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workbookViewId="0"/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46" t="s">
        <v>44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90">
        <v>150</v>
      </c>
      <c r="X5" s="90"/>
      <c r="Y5" s="90"/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90">
        <v>150</v>
      </c>
      <c r="X6" s="90"/>
      <c r="Y6" s="90"/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90"/>
      <c r="X7" s="90"/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90">
        <v>150</v>
      </c>
      <c r="X8" s="90"/>
      <c r="Y8" s="90"/>
      <c r="Z8" s="90"/>
    </row>
    <row r="9" spans="1:26" ht="15" customHeight="1" x14ac:dyDescent="0.25">
      <c r="A9" s="147"/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9"/>
      <c r="N9" s="147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9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450</v>
      </c>
      <c r="X10" s="92">
        <f t="shared" si="0"/>
        <v>0</v>
      </c>
      <c r="Y10" s="92">
        <f t="shared" si="0"/>
        <v>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0" t="s">
        <v>48</v>
      </c>
      <c r="C1" s="125"/>
      <c r="D1" s="125"/>
      <c r="E1" s="125"/>
      <c r="F1" s="126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1"/>
      <c r="C3" s="152"/>
      <c r="D3" s="152"/>
      <c r="E3" s="152"/>
      <c r="F3" s="153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 Explicações</vt:lpstr>
      <vt:lpstr>Fluxo de caixa 2024</vt:lpstr>
      <vt:lpstr>Fluxo de caixa 2025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2025-11-04T21:32:25Z</dcterms:modified>
</cp:coreProperties>
</file>