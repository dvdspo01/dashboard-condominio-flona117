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BED525A7-35D2-4EBD-B098-23A6C00310EA}" xr6:coauthVersionLast="47" xr6:coauthVersionMax="47" xr10:uidLastSave="{00000000-0000-0000-0000-000000000000}"/>
  <bookViews>
    <workbookView xWindow="-28920" yWindow="-120" windowWidth="29040" windowHeight="1572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7" l="1"/>
  <c r="D35" i="7" s="1"/>
  <c r="E35" i="7" s="1"/>
  <c r="F35" i="7" s="1"/>
  <c r="G35" i="7" s="1"/>
  <c r="G28" i="7"/>
  <c r="G22" i="7"/>
  <c r="G21" i="7" s="1"/>
  <c r="G30" i="7" s="1"/>
  <c r="F28" i="7"/>
  <c r="AE10" i="4"/>
  <c r="G9" i="7" s="1"/>
  <c r="G8" i="7" s="1"/>
  <c r="F19" i="7"/>
  <c r="F16" i="7" s="1"/>
  <c r="F29" i="7" s="1"/>
  <c r="AD10" i="4"/>
  <c r="F9" i="7" s="1"/>
  <c r="F8" i="7" s="1"/>
  <c r="AC10" i="4"/>
  <c r="E9" i="7" s="1"/>
  <c r="E8" i="7" s="1"/>
  <c r="AB10" i="4"/>
  <c r="D9" i="7" s="1"/>
  <c r="D8" i="7" s="1"/>
  <c r="AA10" i="4"/>
  <c r="C9" i="7"/>
  <c r="C8" i="7" s="1"/>
  <c r="H9" i="7"/>
  <c r="H8" i="7" s="1"/>
  <c r="I9" i="7"/>
  <c r="I8" i="7" s="1"/>
  <c r="J9" i="7"/>
  <c r="J8" i="7" s="1"/>
  <c r="K9" i="7"/>
  <c r="K8" i="7" s="1"/>
  <c r="L9" i="7"/>
  <c r="L8" i="7" s="1"/>
  <c r="M9" i="7"/>
  <c r="M8" i="7" s="1"/>
  <c r="M31" i="7"/>
  <c r="M28" i="7"/>
  <c r="L28" i="7"/>
  <c r="K28" i="7"/>
  <c r="J28" i="7"/>
  <c r="H28" i="7"/>
  <c r="E28" i="7"/>
  <c r="D28" i="7"/>
  <c r="C28" i="7"/>
  <c r="B28" i="7"/>
  <c r="J21" i="7"/>
  <c r="J30" i="7" s="1"/>
  <c r="M21" i="7"/>
  <c r="M30" i="7" s="1"/>
  <c r="L21" i="7"/>
  <c r="L30" i="7" s="1"/>
  <c r="K21" i="7"/>
  <c r="K30" i="7" s="1"/>
  <c r="I21" i="7"/>
  <c r="I30" i="7" s="1"/>
  <c r="H21" i="7"/>
  <c r="H30" i="7" s="1"/>
  <c r="F21" i="7"/>
  <c r="F30" i="7" s="1"/>
  <c r="E21" i="7"/>
  <c r="E30" i="7" s="1"/>
  <c r="D21" i="7"/>
  <c r="D30" i="7" s="1"/>
  <c r="C21" i="7"/>
  <c r="C30" i="7" s="1"/>
  <c r="B21" i="7"/>
  <c r="M16" i="7"/>
  <c r="M29" i="7" s="1"/>
  <c r="L16" i="7"/>
  <c r="L29" i="7" s="1"/>
  <c r="K16" i="7"/>
  <c r="K29" i="7" s="1"/>
  <c r="J16" i="7"/>
  <c r="J29" i="7" s="1"/>
  <c r="I16" i="7"/>
  <c r="I29" i="7" s="1"/>
  <c r="H16" i="7"/>
  <c r="H29" i="7" s="1"/>
  <c r="G16" i="7"/>
  <c r="G29" i="7" s="1"/>
  <c r="E16" i="7"/>
  <c r="E29" i="7" s="1"/>
  <c r="D16" i="7"/>
  <c r="D29" i="7" s="1"/>
  <c r="C16" i="7"/>
  <c r="C29" i="7" s="1"/>
  <c r="B16" i="7"/>
  <c r="B29" i="7" s="1"/>
  <c r="M12" i="7"/>
  <c r="L12" i="7"/>
  <c r="L31" i="7" s="1"/>
  <c r="K12" i="7"/>
  <c r="K31" i="7" s="1"/>
  <c r="J12" i="7"/>
  <c r="J31" i="7" s="1"/>
  <c r="I12" i="7"/>
  <c r="I31" i="7" s="1"/>
  <c r="H12" i="7"/>
  <c r="H31" i="7" s="1"/>
  <c r="G12" i="7"/>
  <c r="G31" i="7" s="1"/>
  <c r="F12" i="7"/>
  <c r="F31" i="7" s="1"/>
  <c r="E12" i="7"/>
  <c r="E31" i="7" s="1"/>
  <c r="D12" i="7"/>
  <c r="D31" i="7" s="1"/>
  <c r="C12" i="7"/>
  <c r="C31" i="7" s="1"/>
  <c r="B12" i="7"/>
  <c r="B31" i="7" s="1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7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I28" i="7" l="1"/>
  <c r="B30" i="7"/>
  <c r="B32" i="7" s="1"/>
  <c r="C27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2" i="7" l="1"/>
  <c r="D6" i="2"/>
  <c r="D27" i="2" s="1"/>
  <c r="D31" i="2" s="1"/>
  <c r="C6" i="7" l="1"/>
  <c r="D27" i="7"/>
  <c r="D32" i="7" s="1"/>
  <c r="E6" i="2"/>
  <c r="E27" i="2"/>
  <c r="E31" i="2" s="1"/>
  <c r="D6" i="7" l="1"/>
  <c r="E27" i="7"/>
  <c r="E32" i="7" s="1"/>
  <c r="F6" i="2"/>
  <c r="F27" i="2"/>
  <c r="F31" i="2" s="1"/>
  <c r="E6" i="7" l="1"/>
  <c r="F27" i="7"/>
  <c r="F32" i="7" s="1"/>
  <c r="G6" i="2"/>
  <c r="G27" i="2"/>
  <c r="G31" i="2" s="1"/>
  <c r="F6" i="7" l="1"/>
  <c r="G27" i="7"/>
  <c r="G32" i="7" s="1"/>
  <c r="H6" i="2"/>
  <c r="H27" i="2"/>
  <c r="H31" i="2" s="1"/>
  <c r="G6" i="7" l="1"/>
  <c r="H27" i="7"/>
  <c r="H32" i="7" s="1"/>
  <c r="I6" i="2"/>
  <c r="I27" i="2"/>
  <c r="I31" i="2" s="1"/>
  <c r="I32" i="7" l="1"/>
  <c r="J32" i="7" s="1"/>
  <c r="J27" i="2"/>
  <c r="J31" i="2" s="1"/>
  <c r="J6" i="2"/>
  <c r="K32" i="7" l="1"/>
  <c r="K27" i="2"/>
  <c r="K31" i="2" s="1"/>
  <c r="K6" i="2"/>
  <c r="L32" i="7" l="1"/>
  <c r="L27" i="2"/>
  <c r="L31" i="2" s="1"/>
  <c r="L6" i="2"/>
  <c r="M32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tc={629604FD-A46D-4353-9480-10C9E82C566F}</author>
  </authors>
  <commentList>
    <comment ref="G35" authorId="0" shapeId="0" xr:uid="{629604FD-A46D-4353-9480-10C9E82C56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Definido em convenção do condominio que o valor do material perdido seria repassado como custos a ser coberto pelo AP01, o valor total dos materiais ficou em R$4.521,24, revertendo o crédito positivo de R$ 900,00 para R$ 3621,24. Taxa de Condominio não recolhida R$ 200,00</t>
      </text>
    </comment>
  </commentList>
</comments>
</file>

<file path=xl/sharedStrings.xml><?xml version="1.0" encoding="utf-8"?>
<sst xmlns="http://schemas.openxmlformats.org/spreadsheetml/2006/main" count="137" uniqueCount="81">
  <si>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</si>
  <si>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</si>
  <si>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</si>
  <si>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</si>
  <si>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</si>
  <si>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</si>
  <si>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</si>
  <si>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</si>
  <si>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</si>
  <si>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</si>
  <si>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</si>
  <si>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</si>
  <si>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</si>
  <si>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</si>
  <si>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</si>
  <si>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</si>
  <si>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</si>
  <si>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</si>
  <si>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</si>
  <si>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</si>
  <si>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</si>
  <si>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</si>
  <si>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</si>
  <si>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</si>
  <si>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</si>
  <si>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</si>
  <si>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</si>
  <si>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</si>
  <si>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</si>
  <si>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</si>
  <si>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</si>
  <si>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</si>
  <si>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</si>
  <si>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</si>
  <si>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</si>
  <si>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</si>
  <si>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</si>
  <si>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</si>
  <si>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</si>
  <si>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</si>
  <si>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</si>
  <si>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</si>
  <si>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</si>
  <si>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</si>
  <si>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</si>
  <si>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</si>
  <si>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</si>
  <si>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</si>
  <si>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</si>
  <si>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</si>
  <si>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</si>
  <si>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</si>
  <si>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</si>
  <si>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</si>
  <si>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</si>
  <si>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</si>
  <si>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</si>
  <si>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</si>
  <si>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</si>
  <si>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</si>
  <si>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</si>
  <si>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</si>
  <si>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</si>
  <si>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</si>
  <si>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</si>
  <si>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</si>
  <si>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</si>
  <si>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</si>
  <si>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</si>
  <si>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</si>
  <si>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</si>
  <si>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</si>
  <si>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</si>
  <si>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</si>
  <si>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</si>
  <si>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</si>
  <si>
    <t>Creditos / Debitos AP</t>
  </si>
  <si>
    <t>AP01</t>
  </si>
  <si>
    <t>AP02</t>
  </si>
  <si>
    <t>AP03</t>
  </si>
  <si>
    <t>AP04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</si>
</sst>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5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  <font>
      <b/>
      <sz val="10"/>
      <color rgb="FF006411"/>
      <name val="Calibri"/>
      <family val="2"/>
    </font>
    <font>
      <sz val="8"/>
      <name val="Arial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8" fontId="31" fillId="0" borderId="0" xfId="0" applyNumberFormat="1" applyFont="1"/>
    <xf numFmtId="164" fontId="33" fillId="8" borderId="1" xfId="0" applyNumberFormat="1" applyFont="1" applyFill="1" applyBorder="1" applyAlignment="1">
      <alignment horizontal="right" vertical="center"/>
    </xf>
    <xf numFmtId="0" fontId="18" fillId="0" borderId="11" xfId="0" applyFont="1" applyBorder="1" applyAlignment="1">
      <alignment vertical="center"/>
    </xf>
    <xf numFmtId="164" fontId="7" fillId="0" borderId="11" xfId="0" applyNumberFormat="1" applyFont="1" applyBorder="1" applyAlignment="1">
      <alignment horizontal="right" vertical="center"/>
    </xf>
    <xf numFmtId="164" fontId="18" fillId="0" borderId="11" xfId="0" applyNumberFormat="1" applyFont="1" applyBorder="1" applyAlignment="1">
      <alignment horizontal="right" vertical="center"/>
    </xf>
    <xf numFmtId="164" fontId="30" fillId="0" borderId="11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2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 Melo" id="{94384591-832C-4E54-BCC6-025FEE2D32A2}" userId="bba1af4b17a61bc8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5" dT="2026-06-18T12:37:56.77" personId="{94384591-832C-4E54-BCC6-025FEE2D32A2}" id="{629604FD-A46D-4353-9480-10C9E82C566F}">
    <text>Definido em convenção do condominio que o valor do material perdido seria repassado como custos a ser coberto pelo AP01, o valor total dos materiais ficou em R$4.521,24, revertendo o crédito positivo de R$ 900,00 para R$ 3621,24. Taxa de Condominio não recolhida R$ 200,00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7" t="s">
        <v>0</v>
      </c>
      <c r="C1" s="138"/>
      <c r="D1" s="138"/>
      <c r="E1" s="138"/>
      <c r="F1" s="138"/>
      <c r="G1" s="138"/>
      <c r="H1" s="138"/>
      <c r="I1" s="138"/>
      <c r="J1" s="138"/>
      <c r="K1" s="138"/>
      <c r="L1" s="139"/>
      <c r="M1" s="1"/>
    </row>
    <row r="2" spans="1:13" ht="23.25" customHeight="1" x14ac:dyDescent="0.2">
      <c r="A2" s="1"/>
      <c r="B2" s="140" t="s">
        <v>1</v>
      </c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1"/>
    </row>
    <row r="3" spans="1:13" ht="15.75" customHeight="1" x14ac:dyDescent="0.2">
      <c r="A3" s="2"/>
      <c r="B3" s="141" t="s">
        <v>2</v>
      </c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2"/>
    </row>
    <row r="4" spans="1:13" ht="15.75" customHeight="1" x14ac:dyDescent="0.2">
      <c r="A4" s="3"/>
      <c r="B4" s="144"/>
      <c r="C4" s="145"/>
      <c r="D4" s="145"/>
      <c r="E4" s="145"/>
      <c r="F4" s="145"/>
      <c r="G4" s="145"/>
      <c r="H4" s="145"/>
      <c r="I4" s="145"/>
      <c r="J4" s="145"/>
      <c r="K4" s="145"/>
      <c r="L4" s="146"/>
      <c r="M4" s="3"/>
    </row>
    <row r="5" spans="1:13" ht="27" customHeight="1" x14ac:dyDescent="0.2">
      <c r="A5" s="4"/>
      <c r="B5" s="5" t="s">
        <v>3</v>
      </c>
      <c r="C5" s="147" t="s">
        <v>4</v>
      </c>
      <c r="D5" s="148"/>
      <c r="E5" s="148"/>
      <c r="F5" s="148"/>
      <c r="G5" s="148"/>
      <c r="H5" s="148"/>
      <c r="I5" s="148"/>
      <c r="J5" s="148"/>
      <c r="K5" s="148"/>
      <c r="L5" s="149"/>
      <c r="M5" s="4"/>
    </row>
    <row r="6" spans="1:13" ht="30.75" customHeight="1" x14ac:dyDescent="0.2">
      <c r="A6" s="6"/>
      <c r="B6" s="150" t="s">
        <v>5</v>
      </c>
      <c r="C6" s="133" t="s">
        <v>6</v>
      </c>
      <c r="D6" s="128"/>
      <c r="E6" s="128"/>
      <c r="F6" s="128"/>
      <c r="G6" s="128"/>
      <c r="H6" s="128"/>
      <c r="I6" s="128"/>
      <c r="J6" s="128"/>
      <c r="K6" s="128"/>
      <c r="L6" s="134"/>
      <c r="M6" s="6"/>
    </row>
    <row r="7" spans="1:13" ht="34.5" customHeight="1" x14ac:dyDescent="0.2">
      <c r="A7" s="6"/>
      <c r="B7" s="151"/>
      <c r="C7" s="128"/>
      <c r="D7" s="128"/>
      <c r="E7" s="128"/>
      <c r="F7" s="128"/>
      <c r="G7" s="128"/>
      <c r="H7" s="128"/>
      <c r="I7" s="128"/>
      <c r="J7" s="128"/>
      <c r="K7" s="128"/>
      <c r="L7" s="134"/>
      <c r="M7" s="6"/>
    </row>
    <row r="8" spans="1:13" ht="15.75" customHeight="1" x14ac:dyDescent="0.2">
      <c r="A8" s="6"/>
      <c r="B8" s="150" t="s">
        <v>7</v>
      </c>
      <c r="C8" s="133" t="s">
        <v>8</v>
      </c>
      <c r="D8" s="128"/>
      <c r="E8" s="128"/>
      <c r="F8" s="128"/>
      <c r="G8" s="128"/>
      <c r="H8" s="128"/>
      <c r="I8" s="128"/>
      <c r="J8" s="128"/>
      <c r="K8" s="128"/>
      <c r="L8" s="134"/>
      <c r="M8" s="6"/>
    </row>
    <row r="9" spans="1:13" ht="15.75" customHeight="1" x14ac:dyDescent="0.2">
      <c r="A9" s="6"/>
      <c r="B9" s="151"/>
      <c r="C9" s="128"/>
      <c r="D9" s="128"/>
      <c r="E9" s="128"/>
      <c r="F9" s="128"/>
      <c r="G9" s="128"/>
      <c r="H9" s="128"/>
      <c r="I9" s="128"/>
      <c r="J9" s="128"/>
      <c r="K9" s="128"/>
      <c r="L9" s="134"/>
      <c r="M9" s="6"/>
    </row>
    <row r="10" spans="1:13" ht="18.75" customHeight="1" x14ac:dyDescent="0.2">
      <c r="A10" s="6"/>
      <c r="B10" s="150" t="s">
        <v>9</v>
      </c>
      <c r="C10" s="133" t="s">
        <v>10</v>
      </c>
      <c r="D10" s="128"/>
      <c r="E10" s="128"/>
      <c r="F10" s="128"/>
      <c r="G10" s="128"/>
      <c r="H10" s="128"/>
      <c r="I10" s="128"/>
      <c r="J10" s="128"/>
      <c r="K10" s="128"/>
      <c r="L10" s="134"/>
      <c r="M10" s="6"/>
    </row>
    <row r="11" spans="1:13" ht="20.25" customHeight="1" x14ac:dyDescent="0.2">
      <c r="A11" s="6"/>
      <c r="B11" s="151"/>
      <c r="C11" s="128"/>
      <c r="D11" s="128"/>
      <c r="E11" s="128"/>
      <c r="F11" s="128"/>
      <c r="G11" s="128"/>
      <c r="H11" s="128"/>
      <c r="I11" s="128"/>
      <c r="J11" s="128"/>
      <c r="K11" s="128"/>
      <c r="L11" s="134"/>
      <c r="M11" s="6"/>
    </row>
    <row r="12" spans="1:13" ht="18.75" customHeight="1" x14ac:dyDescent="0.2">
      <c r="A12" s="6"/>
      <c r="B12" s="150" t="s">
        <v>11</v>
      </c>
      <c r="C12" s="133" t="s">
        <v>12</v>
      </c>
      <c r="D12" s="128"/>
      <c r="E12" s="128"/>
      <c r="F12" s="128"/>
      <c r="G12" s="128"/>
      <c r="H12" s="128"/>
      <c r="I12" s="128"/>
      <c r="J12" s="128"/>
      <c r="K12" s="128"/>
      <c r="L12" s="134"/>
      <c r="M12" s="6"/>
    </row>
    <row r="13" spans="1:13" ht="18.75" customHeight="1" x14ac:dyDescent="0.2">
      <c r="A13" s="6"/>
      <c r="B13" s="151"/>
      <c r="C13" s="128"/>
      <c r="D13" s="128"/>
      <c r="E13" s="128"/>
      <c r="F13" s="128"/>
      <c r="G13" s="128"/>
      <c r="H13" s="128"/>
      <c r="I13" s="128"/>
      <c r="J13" s="128"/>
      <c r="K13" s="128"/>
      <c r="L13" s="134"/>
      <c r="M13" s="6"/>
    </row>
    <row r="14" spans="1:13" ht="18.75" customHeight="1" x14ac:dyDescent="0.2">
      <c r="A14" s="6"/>
      <c r="B14" s="150" t="s">
        <v>13</v>
      </c>
      <c r="C14" s="133" t="s">
        <v>14</v>
      </c>
      <c r="D14" s="128"/>
      <c r="E14" s="128"/>
      <c r="F14" s="128"/>
      <c r="G14" s="128"/>
      <c r="H14" s="128"/>
      <c r="I14" s="128"/>
      <c r="J14" s="128"/>
      <c r="K14" s="128"/>
      <c r="L14" s="134"/>
      <c r="M14" s="6"/>
    </row>
    <row r="15" spans="1:13" ht="18.75" customHeight="1" x14ac:dyDescent="0.2">
      <c r="A15" s="6"/>
      <c r="B15" s="151"/>
      <c r="C15" s="128"/>
      <c r="D15" s="128"/>
      <c r="E15" s="128"/>
      <c r="F15" s="128"/>
      <c r="G15" s="128"/>
      <c r="H15" s="128"/>
      <c r="I15" s="128"/>
      <c r="J15" s="128"/>
      <c r="K15" s="128"/>
      <c r="L15" s="134"/>
      <c r="M15" s="6"/>
    </row>
    <row r="16" spans="1:13" ht="25.5" customHeight="1" x14ac:dyDescent="0.2">
      <c r="A16" s="6"/>
      <c r="B16" s="150" t="s">
        <v>15</v>
      </c>
      <c r="C16" s="133" t="s">
        <v>16</v>
      </c>
      <c r="D16" s="128"/>
      <c r="E16" s="128"/>
      <c r="F16" s="128"/>
      <c r="G16" s="128"/>
      <c r="H16" s="128"/>
      <c r="I16" s="128"/>
      <c r="J16" s="128"/>
      <c r="K16" s="128"/>
      <c r="L16" s="134"/>
      <c r="M16" s="6"/>
    </row>
    <row r="17" spans="1:13" ht="23.25" customHeight="1" x14ac:dyDescent="0.2">
      <c r="A17" s="6"/>
      <c r="B17" s="152"/>
      <c r="C17" s="135"/>
      <c r="D17" s="135"/>
      <c r="E17" s="135"/>
      <c r="F17" s="135"/>
      <c r="G17" s="135"/>
      <c r="H17" s="135"/>
      <c r="I17" s="135"/>
      <c r="J17" s="135"/>
      <c r="K17" s="135"/>
      <c r="L17" s="136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53"/>
      <c r="B1" s="154" t="s">
        <v>17</v>
      </c>
      <c r="C1" s="128"/>
      <c r="D1" s="155" t="s">
        <v>18</v>
      </c>
      <c r="E1" s="128"/>
      <c r="F1" s="128"/>
      <c r="G1" s="128"/>
      <c r="H1" s="128"/>
      <c r="I1" s="12"/>
      <c r="J1" s="13"/>
      <c r="K1" s="13"/>
      <c r="L1" s="13"/>
      <c r="M1" s="13"/>
    </row>
    <row r="2" spans="1:13" ht="15.75" customHeight="1" x14ac:dyDescent="0.2">
      <c r="A2" s="128"/>
      <c r="B2" s="154" t="s">
        <v>19</v>
      </c>
      <c r="C2" s="128"/>
      <c r="D2" s="131" t="s">
        <v>20</v>
      </c>
      <c r="E2" s="128"/>
      <c r="F2" s="128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8"/>
      <c r="B3" s="154"/>
      <c r="C3" s="128"/>
      <c r="D3" s="156"/>
      <c r="E3" s="128"/>
      <c r="F3" s="14"/>
      <c r="G3" s="156"/>
      <c r="H3" s="128"/>
      <c r="I3" s="15"/>
      <c r="J3" s="16"/>
      <c r="K3" s="16"/>
      <c r="L3" s="16"/>
      <c r="M3" s="16"/>
    </row>
    <row r="4" spans="1:13" ht="15.75" customHeight="1" x14ac:dyDescent="0.2">
      <c r="A4" s="128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7"/>
      <c r="B1" s="129" t="s">
        <v>17</v>
      </c>
      <c r="C1" s="128"/>
      <c r="D1" s="130" t="s">
        <v>18</v>
      </c>
      <c r="E1" s="128"/>
      <c r="F1" s="128"/>
      <c r="G1" s="128"/>
      <c r="H1" s="128"/>
      <c r="I1" s="45"/>
      <c r="J1" s="46"/>
      <c r="K1" s="46"/>
      <c r="L1" s="46"/>
      <c r="M1" s="46"/>
    </row>
    <row r="2" spans="1:13" ht="12.75" customHeight="1" x14ac:dyDescent="0.2">
      <c r="A2" s="128"/>
      <c r="B2" s="129" t="s">
        <v>19</v>
      </c>
      <c r="C2" s="128"/>
      <c r="D2" s="131" t="s">
        <v>20</v>
      </c>
      <c r="E2" s="128"/>
      <c r="F2" s="128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8"/>
      <c r="B3" s="129"/>
      <c r="C3" s="128"/>
      <c r="D3" s="132"/>
      <c r="E3" s="128"/>
      <c r="F3" s="47"/>
      <c r="G3" s="132"/>
      <c r="H3" s="128"/>
      <c r="I3" s="48"/>
      <c r="J3" s="49"/>
      <c r="K3" s="49"/>
      <c r="L3" s="49"/>
      <c r="M3" s="49"/>
    </row>
    <row r="4" spans="1:13" ht="12.75" customHeight="1" x14ac:dyDescent="0.2">
      <c r="A4" s="12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U1005"/>
  <sheetViews>
    <sheetView tabSelected="1" topLeftCell="A3" workbookViewId="0">
      <selection activeCell="K40" sqref="K40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15" width="8.5703125" customWidth="1"/>
    <col min="16" max="16" width="17.7109375" customWidth="1"/>
    <col min="17" max="17" width="14.85546875" customWidth="1"/>
    <col min="18" max="26" width="8.5703125" customWidth="1"/>
  </cols>
  <sheetData>
    <row r="1" spans="1:21" ht="12.75" customHeight="1" x14ac:dyDescent="0.2">
      <c r="A1" s="127"/>
      <c r="B1" s="129" t="s">
        <v>17</v>
      </c>
      <c r="C1" s="128"/>
      <c r="D1" s="130" t="s">
        <v>18</v>
      </c>
      <c r="E1" s="128"/>
      <c r="F1" s="128"/>
      <c r="G1" s="128"/>
      <c r="H1" s="128"/>
      <c r="I1" s="45"/>
      <c r="J1" s="46"/>
      <c r="K1" s="46"/>
      <c r="L1" s="46"/>
      <c r="M1" s="46"/>
    </row>
    <row r="2" spans="1:21" ht="12.75" customHeight="1" x14ac:dyDescent="0.2">
      <c r="A2" s="128"/>
      <c r="B2" s="129" t="s">
        <v>19</v>
      </c>
      <c r="C2" s="128"/>
      <c r="D2" s="131" t="s">
        <v>20</v>
      </c>
      <c r="E2" s="128"/>
      <c r="F2" s="128"/>
      <c r="G2" s="47" t="s">
        <v>21</v>
      </c>
      <c r="H2" s="44">
        <v>2026</v>
      </c>
      <c r="I2" s="48"/>
      <c r="J2" s="49"/>
      <c r="K2" s="49"/>
      <c r="L2" s="49"/>
      <c r="M2" s="49"/>
    </row>
    <row r="3" spans="1:21" ht="12.75" customHeight="1" x14ac:dyDescent="0.2">
      <c r="A3" s="128"/>
      <c r="B3" s="129"/>
      <c r="C3" s="128"/>
      <c r="D3" s="132"/>
      <c r="E3" s="128"/>
      <c r="F3" s="47"/>
      <c r="G3" s="132"/>
      <c r="H3" s="128"/>
      <c r="I3" s="48"/>
      <c r="J3" s="49"/>
      <c r="K3" s="49"/>
      <c r="L3" s="49"/>
      <c r="M3" s="49"/>
    </row>
    <row r="4" spans="1:21" ht="12.75" customHeight="1" x14ac:dyDescent="0.2">
      <c r="A4" s="12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21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  <c r="P5" s="74"/>
      <c r="Q5" s="119"/>
      <c r="R5" s="119"/>
      <c r="S5" s="119"/>
      <c r="T5" s="119"/>
      <c r="U5" s="119"/>
    </row>
    <row r="6" spans="1:21" ht="12.75" customHeight="1" x14ac:dyDescent="0.2">
      <c r="A6" s="56" t="s">
        <v>23</v>
      </c>
      <c r="B6" s="57">
        <f>'Fluxo de caixa 2025'!M33+B8-B16-B21</f>
        <v>2634.45</v>
      </c>
      <c r="C6" s="57">
        <f>C32</f>
        <v>2733.21</v>
      </c>
      <c r="D6" s="57">
        <f>D32</f>
        <v>2794.29</v>
      </c>
      <c r="E6" s="57">
        <f>E32</f>
        <v>3124.3500000000004</v>
      </c>
      <c r="F6" s="57">
        <f>F32</f>
        <v>2633.1600000000003</v>
      </c>
      <c r="G6" s="122">
        <f>G32</f>
        <v>442.07000000000062</v>
      </c>
      <c r="H6" s="57"/>
      <c r="I6" s="57"/>
      <c r="J6" s="57"/>
      <c r="K6" s="57"/>
      <c r="L6" s="57"/>
      <c r="M6" s="57"/>
    </row>
    <row r="7" spans="1:21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21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>D9+D10</f>
        <v>656.21</v>
      </c>
      <c r="E8" s="61">
        <f>E9+E10</f>
        <v>624.97</v>
      </c>
      <c r="F8" s="61">
        <f t="shared" ref="F8:M8" si="0">SUM(F9:F11)</f>
        <v>635.12</v>
      </c>
      <c r="G8" s="61">
        <f t="shared" si="0"/>
        <v>608.11</v>
      </c>
      <c r="H8" s="61">
        <f t="shared" si="0"/>
        <v>0</v>
      </c>
      <c r="I8" s="61">
        <f t="shared" si="0"/>
        <v>0</v>
      </c>
      <c r="J8" s="61">
        <f t="shared" si="0"/>
        <v>0</v>
      </c>
      <c r="K8" s="61">
        <f t="shared" si="0"/>
        <v>0</v>
      </c>
      <c r="L8" s="61">
        <f t="shared" si="0"/>
        <v>0</v>
      </c>
      <c r="M8" s="61">
        <f t="shared" si="0"/>
        <v>0</v>
      </c>
    </row>
    <row r="9" spans="1:21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600</v>
      </c>
      <c r="F9" s="63">
        <f>TaxaCondominio!AD10</f>
        <v>600</v>
      </c>
      <c r="G9" s="63">
        <f>TaxaCondominio!AE10</f>
        <v>600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21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>
        <v>24.97</v>
      </c>
      <c r="F10" s="66">
        <v>35.119999999999997</v>
      </c>
      <c r="G10" s="66">
        <v>8.11</v>
      </c>
      <c r="H10" s="65"/>
      <c r="I10" s="65"/>
      <c r="J10" s="65"/>
      <c r="K10" s="65"/>
      <c r="L10" s="65"/>
      <c r="M10" s="65"/>
    </row>
    <row r="11" spans="1:21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21" ht="12.75" customHeight="1" x14ac:dyDescent="0.2">
      <c r="A12" s="67" t="s">
        <v>27</v>
      </c>
      <c r="B12" s="68">
        <f t="shared" ref="B12:M12" si="1">SUM(B13:B15)</f>
        <v>0</v>
      </c>
      <c r="C12" s="68">
        <f t="shared" si="1"/>
        <v>0</v>
      </c>
      <c r="D12" s="68">
        <f t="shared" si="1"/>
        <v>0</v>
      </c>
      <c r="E12" s="68">
        <f t="shared" si="1"/>
        <v>0</v>
      </c>
      <c r="F12" s="68">
        <f t="shared" si="1"/>
        <v>0</v>
      </c>
      <c r="G12" s="68">
        <f t="shared" si="1"/>
        <v>0</v>
      </c>
      <c r="H12" s="68">
        <f t="shared" si="1"/>
        <v>0</v>
      </c>
      <c r="I12" s="68">
        <f t="shared" si="1"/>
        <v>0</v>
      </c>
      <c r="J12" s="68">
        <f t="shared" si="1"/>
        <v>0</v>
      </c>
      <c r="K12" s="68">
        <f t="shared" si="1"/>
        <v>0</v>
      </c>
      <c r="L12" s="68">
        <f t="shared" si="1"/>
        <v>0</v>
      </c>
      <c r="M12" s="68">
        <f t="shared" si="1"/>
        <v>0</v>
      </c>
      <c r="P12" s="118"/>
    </row>
    <row r="13" spans="1:21" ht="12.75" customHeight="1" x14ac:dyDescent="0.2">
      <c r="A13" s="62" t="s">
        <v>28</v>
      </c>
      <c r="B13" s="69">
        <v>0</v>
      </c>
      <c r="C13" s="69">
        <v>0</v>
      </c>
      <c r="D13" s="69">
        <v>0</v>
      </c>
      <c r="E13" s="69">
        <v>0</v>
      </c>
      <c r="F13" s="69">
        <v>0</v>
      </c>
      <c r="G13" s="69">
        <v>0</v>
      </c>
      <c r="H13" s="69">
        <v>0</v>
      </c>
      <c r="I13" s="69">
        <v>0</v>
      </c>
      <c r="J13" s="69">
        <v>0</v>
      </c>
      <c r="K13" s="69">
        <v>0</v>
      </c>
      <c r="L13" s="69">
        <v>0</v>
      </c>
      <c r="M13" s="69">
        <v>0</v>
      </c>
    </row>
    <row r="14" spans="1:21" ht="12.75" customHeight="1" x14ac:dyDescent="0.2">
      <c r="A14" s="62" t="s">
        <v>74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21" ht="12.75" customHeight="1" x14ac:dyDescent="0.2">
      <c r="A15" s="51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21" ht="12.75" customHeight="1" x14ac:dyDescent="0.2">
      <c r="A16" s="67" t="s">
        <v>29</v>
      </c>
      <c r="B16" s="68">
        <f t="shared" ref="B16:C16" si="2">B17+B18+B19</f>
        <v>345.65</v>
      </c>
      <c r="C16" s="68">
        <f t="shared" si="2"/>
        <v>351.24</v>
      </c>
      <c r="D16" s="68">
        <f t="shared" ref="D16:M16" si="3">SUM(D17:D20)</f>
        <v>145.13</v>
      </c>
      <c r="E16" s="68">
        <f t="shared" si="3"/>
        <v>144.91</v>
      </c>
      <c r="F16" s="68">
        <f t="shared" si="3"/>
        <v>976.31</v>
      </c>
      <c r="G16" s="68">
        <f t="shared" si="3"/>
        <v>445.96</v>
      </c>
      <c r="H16" s="68">
        <f t="shared" si="3"/>
        <v>0</v>
      </c>
      <c r="I16" s="68">
        <f t="shared" si="3"/>
        <v>0</v>
      </c>
      <c r="J16" s="68">
        <f t="shared" si="3"/>
        <v>0</v>
      </c>
      <c r="K16" s="68">
        <f t="shared" si="3"/>
        <v>0</v>
      </c>
      <c r="L16" s="68">
        <f t="shared" si="3"/>
        <v>0</v>
      </c>
      <c r="M16" s="68">
        <f t="shared" si="3"/>
        <v>0</v>
      </c>
    </row>
    <row r="17" spans="1:16" ht="12.75" customHeight="1" x14ac:dyDescent="0.2">
      <c r="A17" s="62" t="s">
        <v>30</v>
      </c>
      <c r="B17" s="70">
        <v>80.22</v>
      </c>
      <c r="C17" s="70">
        <v>81.25</v>
      </c>
      <c r="D17" s="70">
        <v>81.239999999999995</v>
      </c>
      <c r="E17" s="70">
        <v>81.239999999999995</v>
      </c>
      <c r="F17" s="70">
        <v>81.239999999999995</v>
      </c>
      <c r="G17" s="70">
        <v>81.239999999999995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</row>
    <row r="18" spans="1:16" ht="12.75" customHeight="1" x14ac:dyDescent="0.2">
      <c r="A18" s="62" t="s">
        <v>31</v>
      </c>
      <c r="B18" s="70">
        <v>65.430000000000007</v>
      </c>
      <c r="C18" s="70">
        <v>69.989999999999995</v>
      </c>
      <c r="D18" s="70">
        <v>63.89</v>
      </c>
      <c r="E18" s="70">
        <v>63.67</v>
      </c>
      <c r="F18" s="70">
        <v>64.680000000000007</v>
      </c>
      <c r="G18" s="70">
        <v>64.72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32</v>
      </c>
      <c r="B19" s="69">
        <v>200</v>
      </c>
      <c r="C19" s="69">
        <v>200</v>
      </c>
      <c r="D19" s="69">
        <v>0</v>
      </c>
      <c r="E19" s="69">
        <v>0</v>
      </c>
      <c r="F19" s="69">
        <f>150 + 150 + 399 + 131.39</f>
        <v>830.39</v>
      </c>
      <c r="G19" s="69">
        <v>300</v>
      </c>
      <c r="H19" s="69">
        <v>0</v>
      </c>
      <c r="I19" s="69">
        <v>0</v>
      </c>
      <c r="J19" s="69">
        <v>0</v>
      </c>
      <c r="K19" s="69">
        <v>0</v>
      </c>
      <c r="L19" s="69">
        <v>0</v>
      </c>
      <c r="M19" s="69">
        <v>0</v>
      </c>
    </row>
    <row r="20" spans="1:16" ht="12.75" customHeight="1" x14ac:dyDescent="0.2">
      <c r="A20" s="5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9"/>
    </row>
    <row r="21" spans="1:16" ht="12.75" customHeight="1" x14ac:dyDescent="0.2">
      <c r="A21" s="67" t="s">
        <v>33</v>
      </c>
      <c r="B21" s="68">
        <f>B22+B23+B24</f>
        <v>1000</v>
      </c>
      <c r="C21" s="68">
        <f t="shared" ref="C21:M21" si="4">SUM(C22:C25)</f>
        <v>150</v>
      </c>
      <c r="D21" s="68">
        <f t="shared" si="4"/>
        <v>450</v>
      </c>
      <c r="E21" s="68">
        <f t="shared" si="4"/>
        <v>150</v>
      </c>
      <c r="F21" s="68">
        <f t="shared" si="4"/>
        <v>150</v>
      </c>
      <c r="G21" s="68">
        <f t="shared" si="4"/>
        <v>2353.2399999999998</v>
      </c>
      <c r="H21" s="68">
        <f t="shared" si="4"/>
        <v>0</v>
      </c>
      <c r="I21" s="68">
        <f t="shared" si="4"/>
        <v>0</v>
      </c>
      <c r="J21" s="68">
        <f t="shared" si="4"/>
        <v>0</v>
      </c>
      <c r="K21" s="68">
        <f t="shared" si="4"/>
        <v>0</v>
      </c>
      <c r="L21" s="68">
        <f t="shared" si="4"/>
        <v>0</v>
      </c>
      <c r="M21" s="68">
        <f t="shared" si="4"/>
        <v>0</v>
      </c>
    </row>
    <row r="22" spans="1:16" ht="12.75" customHeight="1" x14ac:dyDescent="0.2">
      <c r="A22" s="62" t="s">
        <v>34</v>
      </c>
      <c r="B22" s="70">
        <v>0</v>
      </c>
      <c r="C22" s="69">
        <v>0</v>
      </c>
      <c r="D22" s="69">
        <v>300</v>
      </c>
      <c r="E22" s="69">
        <v>0</v>
      </c>
      <c r="F22" s="69">
        <v>0</v>
      </c>
      <c r="G22" s="69">
        <f xml:space="preserve"> 1500 + 673.24</f>
        <v>2173.2399999999998</v>
      </c>
      <c r="H22" s="69">
        <v>0</v>
      </c>
      <c r="I22" s="69">
        <v>0</v>
      </c>
      <c r="J22" s="69">
        <v>0</v>
      </c>
      <c r="K22" s="69">
        <v>0</v>
      </c>
      <c r="L22" s="69">
        <v>0</v>
      </c>
      <c r="M22" s="69">
        <v>0</v>
      </c>
    </row>
    <row r="23" spans="1:16" ht="12.75" customHeight="1" x14ac:dyDescent="0.2">
      <c r="A23" s="62" t="s">
        <v>35</v>
      </c>
      <c r="B23" s="70">
        <v>850</v>
      </c>
      <c r="C23" s="70">
        <v>0</v>
      </c>
      <c r="D23" s="70">
        <v>0</v>
      </c>
      <c r="E23" s="70">
        <v>0</v>
      </c>
      <c r="F23" s="70">
        <v>0</v>
      </c>
      <c r="G23" s="70">
        <v>180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</row>
    <row r="24" spans="1:16" ht="12.75" customHeight="1" x14ac:dyDescent="0.2">
      <c r="A24" s="62" t="s">
        <v>42</v>
      </c>
      <c r="B24" s="70">
        <v>150</v>
      </c>
      <c r="C24" s="70">
        <v>150</v>
      </c>
      <c r="D24" s="70">
        <v>150</v>
      </c>
      <c r="E24" s="70">
        <v>150</v>
      </c>
      <c r="F24" s="70">
        <v>150</v>
      </c>
      <c r="G24" s="70">
        <v>0</v>
      </c>
      <c r="H24" s="70"/>
      <c r="I24" s="70"/>
      <c r="J24" s="70"/>
      <c r="K24" s="70"/>
      <c r="L24" s="70">
        <v>0</v>
      </c>
      <c r="M24" s="70">
        <v>0</v>
      </c>
    </row>
    <row r="25" spans="1:16" ht="12.75" customHeight="1" x14ac:dyDescent="0.2">
      <c r="A25" s="5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9"/>
    </row>
    <row r="26" spans="1:16" ht="12.75" customHeight="1" x14ac:dyDescent="0.2">
      <c r="A26" s="71" t="s">
        <v>36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</row>
    <row r="27" spans="1:16" ht="12.75" customHeight="1" x14ac:dyDescent="0.2">
      <c r="A27" s="62" t="s">
        <v>37</v>
      </c>
      <c r="B27" s="70">
        <f>'Fluxo de caixa 2025'!M33+'Fluxo de caixa 2026'!B8</f>
        <v>3980.1</v>
      </c>
      <c r="C27" s="70">
        <f t="shared" ref="C27:H27" si="5">B32+C8</f>
        <v>3234.45</v>
      </c>
      <c r="D27" s="70">
        <f t="shared" si="5"/>
        <v>3389.42</v>
      </c>
      <c r="E27" s="70">
        <f t="shared" si="5"/>
        <v>3419.26</v>
      </c>
      <c r="F27" s="70">
        <f t="shared" si="5"/>
        <v>3759.4700000000003</v>
      </c>
      <c r="G27" s="70">
        <f t="shared" si="5"/>
        <v>3241.2700000000004</v>
      </c>
      <c r="H27" s="70">
        <f t="shared" si="5"/>
        <v>442.07000000000062</v>
      </c>
      <c r="I27" s="70">
        <v>0</v>
      </c>
      <c r="J27" s="70">
        <v>0</v>
      </c>
      <c r="K27" s="70">
        <v>0</v>
      </c>
      <c r="L27" s="70">
        <v>0</v>
      </c>
      <c r="M27" s="70">
        <v>0</v>
      </c>
    </row>
    <row r="28" spans="1:16" ht="12.75" customHeight="1" x14ac:dyDescent="0.2">
      <c r="A28" s="62" t="s">
        <v>38</v>
      </c>
      <c r="B28" s="70">
        <f t="shared" ref="B28:H28" si="6">B10</f>
        <v>36.1</v>
      </c>
      <c r="C28" s="70">
        <f t="shared" si="6"/>
        <v>27.74</v>
      </c>
      <c r="D28" s="70">
        <f t="shared" si="6"/>
        <v>56.21</v>
      </c>
      <c r="E28" s="70">
        <f t="shared" si="6"/>
        <v>24.97</v>
      </c>
      <c r="F28" s="70">
        <f t="shared" si="6"/>
        <v>35.119999999999997</v>
      </c>
      <c r="G28" s="70">
        <f t="shared" si="6"/>
        <v>8.11</v>
      </c>
      <c r="H28" s="70">
        <f t="shared" si="6"/>
        <v>0</v>
      </c>
      <c r="I28" s="70">
        <f>I12</f>
        <v>0</v>
      </c>
      <c r="J28" s="70">
        <f>J10</f>
        <v>0</v>
      </c>
      <c r="K28" s="70">
        <f>K10</f>
        <v>0</v>
      </c>
      <c r="L28" s="70">
        <f>L10</f>
        <v>0</v>
      </c>
      <c r="M28" s="70">
        <f>M10</f>
        <v>0</v>
      </c>
    </row>
    <row r="29" spans="1:16" ht="12.75" customHeight="1" x14ac:dyDescent="0.2">
      <c r="A29" s="62" t="s">
        <v>39</v>
      </c>
      <c r="B29" s="70">
        <f t="shared" ref="B29:M29" si="7">B16</f>
        <v>345.65</v>
      </c>
      <c r="C29" s="70">
        <f t="shared" si="7"/>
        <v>351.24</v>
      </c>
      <c r="D29" s="70">
        <f t="shared" si="7"/>
        <v>145.13</v>
      </c>
      <c r="E29" s="70">
        <f t="shared" si="7"/>
        <v>144.91</v>
      </c>
      <c r="F29" s="70">
        <f t="shared" si="7"/>
        <v>976.31</v>
      </c>
      <c r="G29" s="70">
        <f t="shared" si="7"/>
        <v>445.96</v>
      </c>
      <c r="H29" s="70">
        <f t="shared" si="7"/>
        <v>0</v>
      </c>
      <c r="I29" s="70">
        <f t="shared" si="7"/>
        <v>0</v>
      </c>
      <c r="J29" s="70">
        <f t="shared" si="7"/>
        <v>0</v>
      </c>
      <c r="K29" s="70">
        <f t="shared" si="7"/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40</v>
      </c>
      <c r="B30" s="70">
        <f t="shared" ref="B30:M31" si="8">B21</f>
        <v>1000</v>
      </c>
      <c r="C30" s="70">
        <f t="shared" si="8"/>
        <v>150</v>
      </c>
      <c r="D30" s="70">
        <f t="shared" si="8"/>
        <v>450</v>
      </c>
      <c r="E30" s="70">
        <f t="shared" si="8"/>
        <v>150</v>
      </c>
      <c r="F30" s="70">
        <f t="shared" si="8"/>
        <v>150</v>
      </c>
      <c r="G30" s="70">
        <f t="shared" si="8"/>
        <v>2353.2399999999998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  <c r="P30" s="118"/>
    </row>
    <row r="31" spans="1:16" ht="12.75" customHeight="1" x14ac:dyDescent="0.2">
      <c r="A31" s="62" t="s">
        <v>75</v>
      </c>
      <c r="B31" s="70">
        <f>B12</f>
        <v>0</v>
      </c>
      <c r="C31" s="70">
        <f t="shared" ref="C31:L31" si="9">C12</f>
        <v>0</v>
      </c>
      <c r="D31" s="70">
        <f t="shared" si="9"/>
        <v>0</v>
      </c>
      <c r="E31" s="70">
        <f t="shared" si="9"/>
        <v>0</v>
      </c>
      <c r="F31" s="70">
        <f t="shared" si="9"/>
        <v>0</v>
      </c>
      <c r="G31" s="70">
        <f t="shared" si="9"/>
        <v>0</v>
      </c>
      <c r="H31" s="70">
        <f t="shared" si="9"/>
        <v>0</v>
      </c>
      <c r="I31" s="70">
        <f t="shared" si="9"/>
        <v>0</v>
      </c>
      <c r="J31" s="70">
        <f t="shared" si="9"/>
        <v>0</v>
      </c>
      <c r="K31" s="70">
        <f t="shared" si="9"/>
        <v>0</v>
      </c>
      <c r="L31" s="70">
        <f t="shared" si="9"/>
        <v>0</v>
      </c>
      <c r="M31" s="70">
        <f t="shared" si="8"/>
        <v>0</v>
      </c>
    </row>
    <row r="32" spans="1:16" ht="12.75" customHeight="1" x14ac:dyDescent="0.2">
      <c r="A32" s="62" t="s">
        <v>41</v>
      </c>
      <c r="B32" s="73">
        <f>B27-B29-B30-B31</f>
        <v>2634.45</v>
      </c>
      <c r="C32" s="73">
        <f t="shared" ref="C32:I32" si="10">C27-C29-C30-C31</f>
        <v>2733.21</v>
      </c>
      <c r="D32" s="73">
        <f t="shared" si="10"/>
        <v>2794.29</v>
      </c>
      <c r="E32" s="73">
        <f t="shared" si="10"/>
        <v>3124.3500000000004</v>
      </c>
      <c r="F32" s="73">
        <f t="shared" si="10"/>
        <v>2633.1600000000003</v>
      </c>
      <c r="G32" s="73">
        <f t="shared" si="10"/>
        <v>442.07000000000062</v>
      </c>
      <c r="H32" s="73">
        <f t="shared" si="10"/>
        <v>442.07000000000062</v>
      </c>
      <c r="I32" s="73">
        <f t="shared" si="10"/>
        <v>0</v>
      </c>
      <c r="J32" s="70">
        <f>J27-J29-J30</f>
        <v>0</v>
      </c>
      <c r="K32" s="70">
        <f t="shared" ref="K32" si="11">K27+K28-K29-K30</f>
        <v>0</v>
      </c>
      <c r="L32" s="117">
        <f>L27+L28-L29-L30-L31</f>
        <v>0</v>
      </c>
      <c r="M32" s="70">
        <f>M27-M29-M30</f>
        <v>0</v>
      </c>
    </row>
    <row r="33" spans="1:14" ht="12.75" customHeight="1" x14ac:dyDescent="0.2">
      <c r="A33" s="123"/>
      <c r="B33" s="124"/>
      <c r="C33" s="124"/>
      <c r="D33" s="124"/>
      <c r="E33" s="124"/>
      <c r="F33" s="124"/>
      <c r="G33" s="124"/>
      <c r="H33" s="124"/>
      <c r="I33" s="124"/>
      <c r="J33" s="125"/>
      <c r="K33" s="125"/>
      <c r="L33" s="126"/>
      <c r="M33" s="125"/>
    </row>
    <row r="34" spans="1:14" ht="12.75" customHeight="1" x14ac:dyDescent="0.2">
      <c r="A34" s="71" t="s">
        <v>76</v>
      </c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</row>
    <row r="35" spans="1:14" ht="12.75" customHeight="1" x14ac:dyDescent="0.2">
      <c r="A35" s="62" t="s">
        <v>77</v>
      </c>
      <c r="B35" s="70">
        <v>1500</v>
      </c>
      <c r="C35" s="70">
        <f>B35 - 150</f>
        <v>1350</v>
      </c>
      <c r="D35" s="70">
        <f t="shared" ref="D35:F35" si="12">C35 - 150</f>
        <v>1200</v>
      </c>
      <c r="E35" s="70">
        <f t="shared" si="12"/>
        <v>1050</v>
      </c>
      <c r="F35" s="70">
        <f t="shared" si="12"/>
        <v>900</v>
      </c>
      <c r="G35" s="70">
        <f>F35- 4521.24 - 200</f>
        <v>-3821.24</v>
      </c>
      <c r="H35" s="70"/>
      <c r="I35" s="70"/>
      <c r="J35" s="70"/>
      <c r="K35" s="70"/>
      <c r="L35" s="70"/>
      <c r="M35" s="70"/>
    </row>
    <row r="36" spans="1:14" ht="12.75" customHeight="1" x14ac:dyDescent="0.2">
      <c r="A36" s="62" t="s">
        <v>78</v>
      </c>
      <c r="B36" s="70">
        <v>0</v>
      </c>
      <c r="C36" s="70">
        <v>0</v>
      </c>
      <c r="D36" s="70">
        <v>0</v>
      </c>
      <c r="E36" s="70">
        <v>0</v>
      </c>
      <c r="F36" s="70">
        <v>0</v>
      </c>
      <c r="G36" s="70">
        <v>0</v>
      </c>
      <c r="H36" s="70"/>
      <c r="I36" s="70"/>
      <c r="J36" s="70"/>
      <c r="K36" s="70"/>
      <c r="L36" s="70"/>
      <c r="M36" s="70"/>
    </row>
    <row r="37" spans="1:14" ht="12.75" customHeight="1" x14ac:dyDescent="0.2">
      <c r="A37" s="62" t="s">
        <v>79</v>
      </c>
      <c r="B37" s="70">
        <v>0</v>
      </c>
      <c r="C37" s="70">
        <v>0</v>
      </c>
      <c r="D37" s="70">
        <v>0</v>
      </c>
      <c r="E37" s="70">
        <v>0</v>
      </c>
      <c r="F37" s="70">
        <v>0</v>
      </c>
      <c r="G37" s="70">
        <v>0</v>
      </c>
      <c r="H37" s="70"/>
      <c r="I37" s="70"/>
      <c r="J37" s="70"/>
      <c r="K37" s="70"/>
      <c r="L37" s="70"/>
      <c r="M37" s="70"/>
    </row>
    <row r="38" spans="1:14" ht="15" customHeight="1" x14ac:dyDescent="0.2">
      <c r="A38" s="62" t="s">
        <v>80</v>
      </c>
      <c r="B38" s="70">
        <v>0</v>
      </c>
      <c r="C38" s="70">
        <v>0</v>
      </c>
      <c r="D38" s="70">
        <v>0</v>
      </c>
      <c r="E38" s="70">
        <v>0</v>
      </c>
      <c r="F38" s="70">
        <v>0</v>
      </c>
      <c r="G38" s="70">
        <v>0</v>
      </c>
      <c r="H38" s="70"/>
      <c r="I38" s="70"/>
      <c r="J38" s="70"/>
      <c r="K38" s="70"/>
      <c r="L38" s="70"/>
      <c r="M38" s="70"/>
    </row>
    <row r="39" spans="1:14" ht="12.75" customHeight="1" x14ac:dyDescent="0.2">
      <c r="D39" s="118"/>
      <c r="I39" s="118"/>
      <c r="N39" s="118"/>
    </row>
    <row r="40" spans="1:14" ht="12.75" customHeight="1" x14ac:dyDescent="0.2">
      <c r="N40" s="118"/>
    </row>
    <row r="41" spans="1:14" ht="12.75" customHeight="1" x14ac:dyDescent="0.2">
      <c r="E41" s="116"/>
    </row>
    <row r="42" spans="1:14" ht="12.75" customHeight="1" x14ac:dyDescent="0.2">
      <c r="G42" s="121"/>
      <c r="H42" s="119"/>
      <c r="I42" s="119"/>
      <c r="J42" s="119"/>
      <c r="K42" s="119"/>
      <c r="L42" s="119"/>
      <c r="M42" s="119"/>
    </row>
    <row r="43" spans="1:14" ht="12.75" customHeight="1" x14ac:dyDescent="0.2"/>
    <row r="44" spans="1:14" ht="12.75" customHeight="1" x14ac:dyDescent="0.2">
      <c r="J44" s="118"/>
    </row>
    <row r="45" spans="1:14" ht="12.75" customHeight="1" x14ac:dyDescent="0.2">
      <c r="G45" s="118"/>
    </row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  <row r="1003" ht="12.75" customHeight="1" x14ac:dyDescent="0.2"/>
    <row r="1004" ht="12.75" customHeight="1" x14ac:dyDescent="0.2"/>
    <row r="1005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phoneticPr fontId="34" type="noConversion"/>
  <conditionalFormatting sqref="B35:M38">
    <cfRule type="expression" dxfId="1" priority="1">
      <formula>B35&gt;0</formula>
    </cfRule>
    <cfRule type="expression" dxfId="0" priority="2">
      <formula>B35&lt;0</formula>
    </cfRule>
  </conditionalFormatting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O1" workbookViewId="0">
      <selection activeCell="AE5" sqref="AE5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7" t="s">
        <v>44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  <c r="AC4" s="84">
        <v>46113</v>
      </c>
      <c r="AD4" s="84">
        <v>46143</v>
      </c>
      <c r="AE4" s="84">
        <v>46174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  <c r="AC5" s="120">
        <v>150</v>
      </c>
      <c r="AD5" s="120">
        <v>150</v>
      </c>
      <c r="AE5" s="120">
        <v>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  <c r="AC6" s="89">
        <v>150</v>
      </c>
      <c r="AD6" s="89">
        <v>150</v>
      </c>
      <c r="AE6" s="89">
        <v>200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  <c r="AC7" s="89">
        <v>150</v>
      </c>
      <c r="AD7" s="89">
        <v>150</v>
      </c>
      <c r="AE7" s="89">
        <v>200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  <c r="AC8" s="89">
        <v>150</v>
      </c>
      <c r="AD8" s="89">
        <v>150</v>
      </c>
      <c r="AE8" s="89">
        <v>200</v>
      </c>
    </row>
    <row r="9" spans="1:39" ht="15" customHeight="1" x14ac:dyDescent="0.25">
      <c r="A9" s="158"/>
      <c r="B9" s="159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60"/>
      <c r="N9" s="158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60"/>
      <c r="AA9" s="158"/>
      <c r="AB9" s="159"/>
      <c r="AC9" s="159"/>
      <c r="AD9" s="159"/>
      <c r="AE9" s="159"/>
      <c r="AF9" s="159"/>
      <c r="AG9" s="159"/>
      <c r="AH9" s="159"/>
      <c r="AI9" s="159"/>
      <c r="AJ9" s="159"/>
      <c r="AK9" s="159"/>
      <c r="AL9" s="159"/>
      <c r="AM9" s="160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  <c r="AC10" s="91">
        <f t="shared" ref="AC10:AE10" si="2">SUM(AC5:AC8)</f>
        <v>600</v>
      </c>
      <c r="AD10" s="91">
        <f t="shared" si="2"/>
        <v>600</v>
      </c>
      <c r="AE10" s="91">
        <f t="shared" si="2"/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61" t="s">
        <v>48</v>
      </c>
      <c r="C1" s="138"/>
      <c r="D1" s="138"/>
      <c r="E1" s="138"/>
      <c r="F1" s="139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62"/>
      <c r="C3" s="163"/>
      <c r="D3" s="163"/>
      <c r="E3" s="163"/>
      <c r="F3" s="164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2026-06-30T20:29:04Z</dcterms:modified>
</cp:coreProperties>
</file>