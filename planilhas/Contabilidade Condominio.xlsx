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CC3093AE-BD20-4CB2-A1FE-079F90446DBC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7" l="1"/>
  <c r="C9" i="7"/>
  <c r="D9" i="7"/>
  <c r="E9" i="7"/>
  <c r="F9" i="7"/>
  <c r="G9" i="7"/>
  <c r="H9" i="7"/>
  <c r="H8" i="7" s="1"/>
  <c r="I9" i="7"/>
  <c r="I8" i="7" s="1"/>
  <c r="J9" i="7"/>
  <c r="J8" i="7" s="1"/>
  <c r="K9" i="7"/>
  <c r="L9" i="7"/>
  <c r="M9" i="7"/>
  <c r="M32" i="7"/>
  <c r="L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F17" i="7"/>
  <c r="F30" i="7" s="1"/>
  <c r="E17" i="7"/>
  <c r="E30" i="7" s="1"/>
  <c r="D17" i="7"/>
  <c r="D30" i="7" s="1"/>
  <c r="C17" i="7"/>
  <c r="C30" i="7" s="1"/>
  <c r="B17" i="7"/>
  <c r="B30" i="7" s="1"/>
  <c r="M13" i="7"/>
  <c r="L13" i="7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E8" i="7"/>
  <c r="L8" i="7"/>
  <c r="K8" i="7"/>
  <c r="F8" i="7"/>
  <c r="D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E6" i="2"/>
  <c r="E27" i="2"/>
  <c r="E31" i="2" s="1"/>
  <c r="E33" i="7" l="1"/>
  <c r="F6" i="2"/>
  <c r="F27" i="2"/>
  <c r="F31" i="2" s="1"/>
  <c r="F33" i="7" l="1"/>
  <c r="G6" i="2"/>
  <c r="G27" i="2"/>
  <c r="G31" i="2" s="1"/>
  <c r="G33" i="7" l="1"/>
  <c r="H33" i="7" s="1"/>
  <c r="H6" i="2"/>
  <c r="H27" i="2"/>
  <c r="H31" i="2" s="1"/>
  <c r="I33" i="7" l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<sst xmlns="http://schemas.openxmlformats.org/spreadsheetml/2006/main" count="133" uniqueCount="76">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</sst>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u/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6" t="s">
        <v>0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"/>
    </row>
    <row r="2" spans="1:13" ht="23.25" customHeight="1" x14ac:dyDescent="0.2">
      <c r="A2" s="1"/>
      <c r="B2" s="129" t="s">
        <v>1</v>
      </c>
      <c r="C2" s="127"/>
      <c r="D2" s="127"/>
      <c r="E2" s="127"/>
      <c r="F2" s="127"/>
      <c r="G2" s="127"/>
      <c r="H2" s="127"/>
      <c r="I2" s="127"/>
      <c r="J2" s="127"/>
      <c r="K2" s="127"/>
      <c r="L2" s="128"/>
      <c r="M2" s="1"/>
    </row>
    <row r="3" spans="1:13" ht="15.75" customHeight="1" x14ac:dyDescent="0.2">
      <c r="A3" s="2"/>
      <c r="B3" s="130" t="s">
        <v>2</v>
      </c>
      <c r="C3" s="131"/>
      <c r="D3" s="131"/>
      <c r="E3" s="131"/>
      <c r="F3" s="131"/>
      <c r="G3" s="131"/>
      <c r="H3" s="131"/>
      <c r="I3" s="131"/>
      <c r="J3" s="131"/>
      <c r="K3" s="131"/>
      <c r="L3" s="132"/>
      <c r="M3" s="2"/>
    </row>
    <row r="4" spans="1:13" ht="15.75" customHeight="1" x14ac:dyDescent="0.2">
      <c r="A4" s="3"/>
      <c r="B4" s="133"/>
      <c r="C4" s="134"/>
      <c r="D4" s="134"/>
      <c r="E4" s="134"/>
      <c r="F4" s="134"/>
      <c r="G4" s="134"/>
      <c r="H4" s="134"/>
      <c r="I4" s="134"/>
      <c r="J4" s="134"/>
      <c r="K4" s="134"/>
      <c r="L4" s="135"/>
      <c r="M4" s="3"/>
    </row>
    <row r="5" spans="1:13" ht="27" customHeight="1" x14ac:dyDescent="0.2">
      <c r="A5" s="4"/>
      <c r="B5" s="5" t="s">
        <v>3</v>
      </c>
      <c r="C5" s="136" t="s">
        <v>4</v>
      </c>
      <c r="D5" s="137"/>
      <c r="E5" s="137"/>
      <c r="F5" s="137"/>
      <c r="G5" s="137"/>
      <c r="H5" s="137"/>
      <c r="I5" s="137"/>
      <c r="J5" s="137"/>
      <c r="K5" s="137"/>
      <c r="L5" s="138"/>
      <c r="M5" s="4"/>
    </row>
    <row r="6" spans="1:13" ht="30.75" customHeight="1" x14ac:dyDescent="0.2">
      <c r="A6" s="6"/>
      <c r="B6" s="139" t="s">
        <v>5</v>
      </c>
      <c r="C6" s="121" t="s">
        <v>6</v>
      </c>
      <c r="D6" s="122"/>
      <c r="E6" s="122"/>
      <c r="F6" s="122"/>
      <c r="G6" s="122"/>
      <c r="H6" s="122"/>
      <c r="I6" s="122"/>
      <c r="J6" s="122"/>
      <c r="K6" s="122"/>
      <c r="L6" s="123"/>
      <c r="M6" s="6"/>
    </row>
    <row r="7" spans="1:13" ht="34.5" customHeight="1" x14ac:dyDescent="0.2">
      <c r="A7" s="6"/>
      <c r="B7" s="140"/>
      <c r="C7" s="122"/>
      <c r="D7" s="122"/>
      <c r="E7" s="122"/>
      <c r="F7" s="122"/>
      <c r="G7" s="122"/>
      <c r="H7" s="122"/>
      <c r="I7" s="122"/>
      <c r="J7" s="122"/>
      <c r="K7" s="122"/>
      <c r="L7" s="123"/>
      <c r="M7" s="6"/>
    </row>
    <row r="8" spans="1:13" ht="15.75" customHeight="1" x14ac:dyDescent="0.2">
      <c r="A8" s="6"/>
      <c r="B8" s="139" t="s">
        <v>7</v>
      </c>
      <c r="C8" s="121" t="s">
        <v>8</v>
      </c>
      <c r="D8" s="122"/>
      <c r="E8" s="122"/>
      <c r="F8" s="122"/>
      <c r="G8" s="122"/>
      <c r="H8" s="122"/>
      <c r="I8" s="122"/>
      <c r="J8" s="122"/>
      <c r="K8" s="122"/>
      <c r="L8" s="123"/>
      <c r="M8" s="6"/>
    </row>
    <row r="9" spans="1:13" ht="15.75" customHeight="1" x14ac:dyDescent="0.2">
      <c r="A9" s="6"/>
      <c r="B9" s="140"/>
      <c r="C9" s="122"/>
      <c r="D9" s="122"/>
      <c r="E9" s="122"/>
      <c r="F9" s="122"/>
      <c r="G9" s="122"/>
      <c r="H9" s="122"/>
      <c r="I9" s="122"/>
      <c r="J9" s="122"/>
      <c r="K9" s="122"/>
      <c r="L9" s="123"/>
      <c r="M9" s="6"/>
    </row>
    <row r="10" spans="1:13" ht="18.75" customHeight="1" x14ac:dyDescent="0.2">
      <c r="A10" s="6"/>
      <c r="B10" s="139" t="s">
        <v>9</v>
      </c>
      <c r="C10" s="121" t="s">
        <v>10</v>
      </c>
      <c r="D10" s="122"/>
      <c r="E10" s="122"/>
      <c r="F10" s="122"/>
      <c r="G10" s="122"/>
      <c r="H10" s="122"/>
      <c r="I10" s="122"/>
      <c r="J10" s="122"/>
      <c r="K10" s="122"/>
      <c r="L10" s="123"/>
      <c r="M10" s="6"/>
    </row>
    <row r="11" spans="1:13" ht="20.25" customHeight="1" x14ac:dyDescent="0.2">
      <c r="A11" s="6"/>
      <c r="B11" s="140"/>
      <c r="C11" s="122"/>
      <c r="D11" s="122"/>
      <c r="E11" s="122"/>
      <c r="F11" s="122"/>
      <c r="G11" s="122"/>
      <c r="H11" s="122"/>
      <c r="I11" s="122"/>
      <c r="J11" s="122"/>
      <c r="K11" s="122"/>
      <c r="L11" s="123"/>
      <c r="M11" s="6"/>
    </row>
    <row r="12" spans="1:13" ht="18.75" customHeight="1" x14ac:dyDescent="0.2">
      <c r="A12" s="6"/>
      <c r="B12" s="139" t="s">
        <v>11</v>
      </c>
      <c r="C12" s="121" t="s">
        <v>12</v>
      </c>
      <c r="D12" s="122"/>
      <c r="E12" s="122"/>
      <c r="F12" s="122"/>
      <c r="G12" s="122"/>
      <c r="H12" s="122"/>
      <c r="I12" s="122"/>
      <c r="J12" s="122"/>
      <c r="K12" s="122"/>
      <c r="L12" s="123"/>
      <c r="M12" s="6"/>
    </row>
    <row r="13" spans="1:13" ht="18.75" customHeight="1" x14ac:dyDescent="0.2">
      <c r="A13" s="6"/>
      <c r="B13" s="140"/>
      <c r="C13" s="122"/>
      <c r="D13" s="122"/>
      <c r="E13" s="122"/>
      <c r="F13" s="122"/>
      <c r="G13" s="122"/>
      <c r="H13" s="122"/>
      <c r="I13" s="122"/>
      <c r="J13" s="122"/>
      <c r="K13" s="122"/>
      <c r="L13" s="123"/>
      <c r="M13" s="6"/>
    </row>
    <row r="14" spans="1:13" ht="18.75" customHeight="1" x14ac:dyDescent="0.2">
      <c r="A14" s="6"/>
      <c r="B14" s="139" t="s">
        <v>13</v>
      </c>
      <c r="C14" s="121" t="s">
        <v>14</v>
      </c>
      <c r="D14" s="122"/>
      <c r="E14" s="122"/>
      <c r="F14" s="122"/>
      <c r="G14" s="122"/>
      <c r="H14" s="122"/>
      <c r="I14" s="122"/>
      <c r="J14" s="122"/>
      <c r="K14" s="122"/>
      <c r="L14" s="123"/>
      <c r="M14" s="6"/>
    </row>
    <row r="15" spans="1:13" ht="18.75" customHeight="1" x14ac:dyDescent="0.2">
      <c r="A15" s="6"/>
      <c r="B15" s="140"/>
      <c r="C15" s="122"/>
      <c r="D15" s="122"/>
      <c r="E15" s="122"/>
      <c r="F15" s="122"/>
      <c r="G15" s="122"/>
      <c r="H15" s="122"/>
      <c r="I15" s="122"/>
      <c r="J15" s="122"/>
      <c r="K15" s="122"/>
      <c r="L15" s="123"/>
      <c r="M15" s="6"/>
    </row>
    <row r="16" spans="1:13" ht="25.5" customHeight="1" x14ac:dyDescent="0.2">
      <c r="A16" s="6"/>
      <c r="B16" s="139" t="s">
        <v>15</v>
      </c>
      <c r="C16" s="121" t="s">
        <v>16</v>
      </c>
      <c r="D16" s="122"/>
      <c r="E16" s="122"/>
      <c r="F16" s="122"/>
      <c r="G16" s="122"/>
      <c r="H16" s="122"/>
      <c r="I16" s="122"/>
      <c r="J16" s="122"/>
      <c r="K16" s="122"/>
      <c r="L16" s="123"/>
      <c r="M16" s="6"/>
    </row>
    <row r="17" spans="1:13" ht="23.25" customHeight="1" x14ac:dyDescent="0.2">
      <c r="A17" s="6"/>
      <c r="B17" s="141"/>
      <c r="C17" s="124"/>
      <c r="D17" s="124"/>
      <c r="E17" s="124"/>
      <c r="F17" s="124"/>
      <c r="G17" s="124"/>
      <c r="H17" s="124"/>
      <c r="I17" s="124"/>
      <c r="J17" s="124"/>
      <c r="K17" s="124"/>
      <c r="L17" s="125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2"/>
      <c r="B1" s="143" t="s">
        <v>17</v>
      </c>
      <c r="C1" s="122"/>
      <c r="D1" s="144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3" t="s">
        <v>19</v>
      </c>
      <c r="C2" s="122"/>
      <c r="D2" s="14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3"/>
      <c r="C3" s="122"/>
      <c r="D3" s="146"/>
      <c r="E3" s="122"/>
      <c r="F3" s="14"/>
      <c r="G3" s="146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workbookViewId="0">
      <selection activeCell="M28" sqref="M28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48" t="s">
        <v>19</v>
      </c>
      <c r="C2" s="122"/>
      <c r="D2" s="14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48"/>
      <c r="C3" s="122"/>
      <c r="D3" s="150"/>
      <c r="E3" s="122"/>
      <c r="F3" s="47"/>
      <c r="G3" s="150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B33" sqref="B33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48" t="s">
        <v>19</v>
      </c>
      <c r="C2" s="122"/>
      <c r="D2" s="14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3" ht="12.75" customHeight="1" x14ac:dyDescent="0.2">
      <c r="A3" s="122"/>
      <c r="B3" s="148"/>
      <c r="C3" s="122"/>
      <c r="D3" s="150"/>
      <c r="E3" s="122"/>
      <c r="F3" s="47"/>
      <c r="G3" s="150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3" ht="12.75" customHeight="1" x14ac:dyDescent="0.2">
      <c r="A6" s="56" t="s">
        <v>23</v>
      </c>
      <c r="B6" s="57">
        <f>'Fluxo de caixa 2025'!M33+B8-B17-B22</f>
        <v>2634.45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636.1</v>
      </c>
      <c r="C8" s="61">
        <f>C9</f>
        <v>0</v>
      </c>
      <c r="D8" s="61">
        <f t="shared" ref="D8:E8" si="0">D9+D10</f>
        <v>0</v>
      </c>
      <c r="E8" s="61">
        <f t="shared" si="0"/>
        <v>0</v>
      </c>
      <c r="F8" s="61">
        <f t="shared" ref="F8:M8" si="1">SUM(F9:F11)</f>
        <v>0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3" ht="12.75" customHeight="1" x14ac:dyDescent="0.2">
      <c r="A9" s="62" t="s">
        <v>25</v>
      </c>
      <c r="B9" s="63">
        <f>TaxaCondominio!Z10</f>
        <v>600</v>
      </c>
      <c r="C9" s="63">
        <f>TaxaCondominio!AA10</f>
        <v>0</v>
      </c>
      <c r="D9" s="63">
        <f>TaxaCondominio!AB10</f>
        <v>0</v>
      </c>
      <c r="E9" s="63">
        <f>TaxaCondominio!AC10</f>
        <v>0</v>
      </c>
      <c r="F9" s="63">
        <f>TaxaCondominio!AD10</f>
        <v>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3" ht="12.75" customHeight="1" x14ac:dyDescent="0.2">
      <c r="A10" s="62" t="s">
        <v>26</v>
      </c>
      <c r="B10" s="65">
        <v>36.1</v>
      </c>
      <c r="C10" s="65"/>
      <c r="D10" s="65"/>
      <c r="E10" s="65"/>
      <c r="F10" s="66"/>
      <c r="G10" s="66"/>
      <c r="H10" s="65"/>
      <c r="I10" s="65"/>
      <c r="J10" s="65"/>
      <c r="K10" s="65"/>
      <c r="L10" s="65"/>
      <c r="M10" s="65"/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20.170000000000002</v>
      </c>
      <c r="M13" s="68">
        <f t="shared" si="2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0</v>
      </c>
      <c r="D17" s="68">
        <f t="shared" ref="D17:M17" si="4">SUM(D18:D21)</f>
        <v>0</v>
      </c>
      <c r="E17" s="68">
        <f t="shared" si="4"/>
        <v>0</v>
      </c>
      <c r="F17" s="68">
        <f t="shared" si="4"/>
        <v>0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0</v>
      </c>
      <c r="D20" s="69">
        <v>0</v>
      </c>
      <c r="E20" s="69">
        <v>0</v>
      </c>
      <c r="F20" s="69">
        <v>0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0</v>
      </c>
      <c r="D22" s="68">
        <f t="shared" si="5"/>
        <v>0</v>
      </c>
      <c r="E22" s="68">
        <f t="shared" si="5"/>
        <v>0</v>
      </c>
      <c r="F22" s="68">
        <f t="shared" si="5"/>
        <v>0</v>
      </c>
      <c r="G22" s="68">
        <f t="shared" si="5"/>
        <v>0</v>
      </c>
      <c r="H22" s="68">
        <f t="shared" si="5"/>
        <v>0</v>
      </c>
      <c r="I22" s="68">
        <f t="shared" si="5"/>
        <v>0</v>
      </c>
      <c r="J22" s="68">
        <f t="shared" si="5"/>
        <v>0</v>
      </c>
      <c r="K22" s="68">
        <f t="shared" si="5"/>
        <v>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0</v>
      </c>
      <c r="D29" s="70">
        <f t="shared" si="6"/>
        <v>0</v>
      </c>
      <c r="E29" s="70">
        <f t="shared" si="6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0</v>
      </c>
      <c r="D30" s="70">
        <f t="shared" si="8"/>
        <v>0</v>
      </c>
      <c r="E30" s="70">
        <f t="shared" si="8"/>
        <v>0</v>
      </c>
      <c r="F30" s="70">
        <f t="shared" si="8"/>
        <v>0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0</v>
      </c>
      <c r="D31" s="70">
        <f t="shared" si="9"/>
        <v>0</v>
      </c>
      <c r="E31" s="70">
        <f t="shared" si="9"/>
        <v>0</v>
      </c>
      <c r="F31" s="70">
        <f t="shared" si="9"/>
        <v>0</v>
      </c>
      <c r="G31" s="70">
        <f t="shared" si="9"/>
        <v>0</v>
      </c>
      <c r="H31" s="70">
        <f t="shared" si="9"/>
        <v>0</v>
      </c>
      <c r="I31" s="70">
        <f t="shared" si="9"/>
        <v>0</v>
      </c>
      <c r="J31" s="70">
        <f t="shared" si="9"/>
        <v>0</v>
      </c>
      <c r="K31" s="70">
        <f t="shared" si="9"/>
        <v>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20.170000000000002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0</v>
      </c>
      <c r="D33" s="73">
        <f t="shared" si="11"/>
        <v>0</v>
      </c>
      <c r="E33" s="73">
        <f t="shared" si="11"/>
        <v>0</v>
      </c>
      <c r="F33" s="73">
        <f t="shared" si="11"/>
        <v>0</v>
      </c>
      <c r="G33" s="73">
        <f t="shared" si="11"/>
        <v>0</v>
      </c>
      <c r="H33" s="73">
        <f t="shared" si="11"/>
        <v>0</v>
      </c>
      <c r="I33" s="73">
        <f t="shared" si="11"/>
        <v>0</v>
      </c>
      <c r="J33" s="70">
        <f>J28-J30-J31</f>
        <v>0</v>
      </c>
      <c r="K33" s="70">
        <f t="shared" ref="K33" si="12">K28+K29-K30-K31</f>
        <v>0</v>
      </c>
      <c r="L33" s="117">
        <f>L28+L29-L30-L31-L32</f>
        <v>-20.170000000000002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D35" s="75"/>
      <c r="E35" s="76"/>
      <c r="F35" s="76"/>
      <c r="G35" s="77"/>
      <c r="H35" s="76"/>
      <c r="I35" s="76"/>
      <c r="J35" s="76"/>
      <c r="K35" s="76"/>
      <c r="L35" s="76"/>
      <c r="M35" s="76"/>
    </row>
    <row r="36" spans="1:14" ht="12.75" customHeight="1" x14ac:dyDescent="0.2">
      <c r="D36" s="118"/>
      <c r="I36" s="118"/>
    </row>
    <row r="37" spans="1:14" ht="12.75" customHeight="1" x14ac:dyDescent="0.2"/>
    <row r="38" spans="1:14" ht="12.75" customHeight="1" x14ac:dyDescent="0.2">
      <c r="E38" s="118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topLeftCell="H1" workbookViewId="0">
      <selection activeCell="Z5" sqref="Z5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</row>
    <row r="9" spans="1:26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</row>
    <row r="10" spans="1:26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27"/>
      <c r="D1" s="127"/>
      <c r="E1" s="127"/>
      <c r="F1" s="128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2026-01-30T20:59:38Z</dcterms:modified>
</cp:coreProperties>
</file>